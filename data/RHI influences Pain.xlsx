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TENTE\Dropbox\BASIC-NPSY\RHI_PAIN_Meta_analysis\data\"/>
    </mc:Choice>
  </mc:AlternateContent>
  <xr:revisionPtr revIDLastSave="0" documentId="13_ncr:1_{896C374A-2B10-4AB5-B174-F4A24AB6FCF5}" xr6:coauthVersionLast="47" xr6:coauthVersionMax="47" xr10:uidLastSave="{00000000-0000-0000-0000-000000000000}"/>
  <bookViews>
    <workbookView xWindow="11438" yWindow="0" windowWidth="11684" windowHeight="13763" activeTab="1" xr2:uid="{00000000-000D-0000-FFFF-FFFF00000000}"/>
  </bookViews>
  <sheets>
    <sheet name="Sheet1" sheetId="1" r:id="rId1"/>
    <sheet name="RHI influence on Pain" sheetId="2" r:id="rId2"/>
    <sheet name="Foglio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67" i="2" l="1"/>
  <c r="AJ66" i="2"/>
  <c r="AI67" i="2"/>
  <c r="AI66" i="2"/>
  <c r="AM66" i="2" s="1"/>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7" i="2"/>
  <c r="AM68" i="2"/>
  <c r="AM69" i="2"/>
  <c r="AM70" i="2"/>
  <c r="AM71" i="2"/>
  <c r="AM2" i="2"/>
  <c r="AI71" i="2"/>
  <c r="AJ71" i="2" s="1"/>
  <c r="AK71" i="2"/>
  <c r="AK70" i="2"/>
  <c r="AI70" i="2"/>
  <c r="AJ70" i="2" s="1"/>
  <c r="AJ69" i="2"/>
  <c r="AJ68" i="2"/>
  <c r="AK65" i="2"/>
  <c r="AI65" i="2" s="1"/>
  <c r="AJ65" i="2" s="1"/>
  <c r="AK64" i="2"/>
  <c r="AI64" i="2"/>
  <c r="AJ64" i="2" s="1"/>
  <c r="AJ63" i="2"/>
  <c r="AJ62" i="2"/>
  <c r="AI57" i="2"/>
  <c r="AJ57" i="2" s="1"/>
  <c r="AK61" i="2"/>
  <c r="AI61" i="2"/>
  <c r="AJ61" i="2" s="1"/>
  <c r="AK60" i="2"/>
  <c r="AI60" i="2" s="1"/>
  <c r="AJ60" i="2" s="1"/>
  <c r="AK59" i="2"/>
  <c r="AI59" i="2" s="1"/>
  <c r="AJ59" i="2" s="1"/>
  <c r="AK58" i="2"/>
  <c r="AI58" i="2" s="1"/>
  <c r="AJ58" i="2" s="1"/>
  <c r="AI56" i="2"/>
  <c r="AJ56" i="2" s="1"/>
  <c r="AI55" i="2"/>
  <c r="AJ55" i="2" s="1"/>
  <c r="AI54" i="2"/>
  <c r="AJ54" i="2" s="1"/>
  <c r="AI53" i="2"/>
  <c r="AJ53" i="2" s="1"/>
  <c r="AI52" i="2"/>
  <c r="AJ52" i="2" s="1"/>
  <c r="AI51" i="2"/>
  <c r="AJ51" i="2" s="1"/>
  <c r="AI50" i="2"/>
  <c r="AJ50" i="2" s="1"/>
  <c r="AI49" i="2"/>
  <c r="AJ49" i="2" s="1"/>
  <c r="AI48" i="2"/>
  <c r="AJ48" i="2" s="1"/>
  <c r="AK47" i="2"/>
  <c r="AI47" i="2" s="1"/>
  <c r="AJ47" i="2" s="1"/>
  <c r="AK46" i="2"/>
  <c r="AI46" i="2" s="1"/>
  <c r="AJ46" i="2" s="1"/>
  <c r="AK45" i="2"/>
  <c r="AI45" i="2" s="1"/>
  <c r="AJ45" i="2" s="1"/>
  <c r="AI44" i="2"/>
  <c r="AJ44" i="2" s="1"/>
  <c r="AI43" i="2"/>
  <c r="AJ43" i="2" s="1"/>
  <c r="AI42" i="2"/>
  <c r="AJ42" i="2" s="1"/>
  <c r="AI41" i="2"/>
  <c r="AJ41" i="2" s="1"/>
  <c r="AI40" i="2"/>
  <c r="AJ40" i="2" s="1"/>
  <c r="AK39" i="2"/>
  <c r="AI39" i="2" s="1"/>
  <c r="AJ39" i="2" s="1"/>
  <c r="AK38" i="2"/>
  <c r="AI38" i="2"/>
  <c r="AJ38" i="2" s="1"/>
  <c r="AK37" i="2"/>
  <c r="AI37" i="2" s="1"/>
  <c r="AJ37" i="2" s="1"/>
  <c r="AI36" i="2"/>
  <c r="AJ36" i="2" s="1"/>
  <c r="AI35" i="2"/>
  <c r="AJ35" i="2" s="1"/>
  <c r="AK33" i="2"/>
  <c r="AL33" i="2"/>
  <c r="AI33" i="2"/>
  <c r="AJ33" i="2" s="1"/>
  <c r="AK32" i="2"/>
  <c r="AL32" i="2"/>
  <c r="AI32" i="2" s="1"/>
  <c r="AJ32" i="2" s="1"/>
  <c r="AL31" i="2"/>
  <c r="AK31" i="2"/>
  <c r="AI34" i="2"/>
  <c r="AJ34" i="2" s="1"/>
  <c r="AI30" i="2"/>
  <c r="AJ30" i="2" s="1"/>
  <c r="AI29" i="2"/>
  <c r="AJ29" i="2" s="1"/>
  <c r="AI28" i="2"/>
  <c r="AJ28" i="2" s="1"/>
  <c r="AI27" i="2"/>
  <c r="AJ27" i="2" s="1"/>
  <c r="AI26" i="2"/>
  <c r="AJ26" i="2" s="1"/>
  <c r="AK25" i="2"/>
  <c r="AI25" i="2" s="1"/>
  <c r="AJ25" i="2" s="1"/>
  <c r="AI24" i="2"/>
  <c r="AJ24" i="2" s="1"/>
  <c r="AI23" i="2"/>
  <c r="AJ23" i="2" s="1"/>
  <c r="AK22" i="2"/>
  <c r="AI22" i="2"/>
  <c r="AJ22" i="2" s="1"/>
  <c r="AK21" i="2"/>
  <c r="AI21" i="2"/>
  <c r="AJ21" i="2" s="1"/>
  <c r="AI20" i="2"/>
  <c r="AJ20" i="2" s="1"/>
  <c r="AK19" i="2"/>
  <c r="AI19" i="2" s="1"/>
  <c r="AJ19" i="2" s="1"/>
  <c r="AI18" i="2"/>
  <c r="AJ18" i="2"/>
  <c r="AK17" i="2"/>
  <c r="AI17" i="2" s="1"/>
  <c r="AJ17" i="2" s="1"/>
  <c r="AK16" i="2"/>
  <c r="AI16" i="2" s="1"/>
  <c r="AJ16" i="2" s="1"/>
  <c r="AI15" i="2"/>
  <c r="AJ15" i="2" s="1"/>
  <c r="AI14" i="2"/>
  <c r="AJ14" i="2" s="1"/>
  <c r="AK13" i="2"/>
  <c r="AI13" i="2" s="1"/>
  <c r="AJ13" i="2" s="1"/>
  <c r="AK12" i="2"/>
  <c r="AI12" i="2" s="1"/>
  <c r="AJ12" i="2" s="1"/>
  <c r="AK11" i="2"/>
  <c r="AI11" i="2" s="1"/>
  <c r="AJ11" i="2" s="1"/>
  <c r="AK10" i="2"/>
  <c r="AI10" i="2"/>
  <c r="AJ10" i="2" s="1"/>
  <c r="K71" i="2"/>
  <c r="K70" i="2"/>
  <c r="O26" i="2"/>
  <c r="AI9" i="2"/>
  <c r="AJ9" i="2" s="1"/>
  <c r="AI8" i="2"/>
  <c r="AJ8" i="2" s="1"/>
  <c r="AI7" i="2"/>
  <c r="AJ7" i="2" s="1"/>
  <c r="AI6" i="2"/>
  <c r="AJ6" i="2" s="1"/>
  <c r="AK5" i="2"/>
  <c r="AI5" i="2" s="1"/>
  <c r="AJ5" i="2" s="1"/>
  <c r="O5" i="2"/>
  <c r="AK4" i="2"/>
  <c r="AI4" i="2" s="1"/>
  <c r="AJ4" i="2" s="1"/>
  <c r="O4" i="2"/>
  <c r="AK3" i="2"/>
  <c r="Y3" i="2"/>
  <c r="O3" i="2"/>
  <c r="AK2" i="2"/>
  <c r="Y2" i="2"/>
  <c r="O2" i="2"/>
  <c r="K114" i="1"/>
  <c r="K113" i="1"/>
  <c r="O111" i="1"/>
  <c r="K111" i="1"/>
  <c r="K110" i="1"/>
  <c r="K109" i="1"/>
  <c r="O56" i="1"/>
  <c r="AJ9" i="1"/>
  <c r="AI9" i="1"/>
  <c r="AJ8" i="1"/>
  <c r="AI8" i="1"/>
  <c r="AJ7" i="1"/>
  <c r="AI7" i="1"/>
  <c r="AJ6" i="1"/>
  <c r="AI6" i="1"/>
  <c r="AK5" i="1"/>
  <c r="AJ5" i="1"/>
  <c r="AI5" i="1"/>
  <c r="O5" i="1"/>
  <c r="AK4" i="1"/>
  <c r="AI4" i="1"/>
  <c r="AJ4" i="1" s="1"/>
  <c r="O4" i="1"/>
  <c r="AK3" i="1"/>
  <c r="AI3" i="1"/>
  <c r="AJ3" i="1" s="1"/>
  <c r="Y3" i="1"/>
  <c r="O3" i="1"/>
  <c r="AK2" i="1"/>
  <c r="AJ2" i="1"/>
  <c r="AI2" i="1"/>
  <c r="Y2" i="1"/>
  <c r="O2" i="1"/>
  <c r="AI31" i="2" l="1"/>
  <c r="AJ31" i="2" s="1"/>
  <c r="AI2" i="2"/>
  <c r="AJ2" i="2" s="1"/>
  <c r="AI3" i="2"/>
  <c r="AJ3" i="2" s="1"/>
</calcChain>
</file>

<file path=xl/sharedStrings.xml><?xml version="1.0" encoding="utf-8"?>
<sst xmlns="http://schemas.openxmlformats.org/spreadsheetml/2006/main" count="3079" uniqueCount="635">
  <si>
    <t>ID</t>
  </si>
  <si>
    <t>Paper Title</t>
  </si>
  <si>
    <t>Authors</t>
  </si>
  <si>
    <t>Affiliation</t>
  </si>
  <si>
    <t>Journal</t>
  </si>
  <si>
    <t>Publication Year</t>
  </si>
  <si>
    <t>In-text citation</t>
  </si>
  <si>
    <t>Condition - Sample size</t>
  </si>
  <si>
    <t>Condition - mean age M(SD)</t>
  </si>
  <si>
    <t>Condition - age other</t>
  </si>
  <si>
    <t>Condition - gender (only value of female %)</t>
  </si>
  <si>
    <t>Control - Sample size</t>
  </si>
  <si>
    <t>Control - Mean age M(SD)</t>
  </si>
  <si>
    <t>Control - age other</t>
  </si>
  <si>
    <t>Control - gender (only value of female %)</t>
  </si>
  <si>
    <t>RHI - Experimental manipulation</t>
  </si>
  <si>
    <t>RHI - Visual feedback of the rubber hand? (Y/N)</t>
  </si>
  <si>
    <t>Pain - type of pain source</t>
  </si>
  <si>
    <t>Pain - intensity of stimulus</t>
  </si>
  <si>
    <t>Pain - intensity duration</t>
  </si>
  <si>
    <t>Pain - type of perception value used (e.g. subjective pain rating/pain thresholds/physiological pain/ﾅ)</t>
  </si>
  <si>
    <t>Pain - measurement instrument</t>
  </si>
  <si>
    <t>Pain - scale range</t>
  </si>
  <si>
    <t>Pain - meaning of the score</t>
  </si>
  <si>
    <t>Pain Condition - mean value pain</t>
  </si>
  <si>
    <t>Pain Condition – sd value pain</t>
  </si>
  <si>
    <t>Pain Control - mean value pain</t>
  </si>
  <si>
    <t>Pain Control – sd value pain</t>
  </si>
  <si>
    <t>Pain - type of statistics used (t test, F of Fisher, r of Pearson, ﾅ)</t>
  </si>
  <si>
    <t>Pain - value of statistic test</t>
  </si>
  <si>
    <t>Pain - gdl</t>
  </si>
  <si>
    <t>Pain - p value</t>
  </si>
  <si>
    <t>Include a brief summary of what the paper is about, what they have done, how they have done it, and a brief take-home message</t>
  </si>
  <si>
    <t>Comment</t>
  </si>
  <si>
    <t>Cohen's d</t>
  </si>
  <si>
    <t>Hedges</t>
  </si>
  <si>
    <t>sd pooled</t>
  </si>
  <si>
    <t>Attenuation of Pain Perception Induced by the Rubber Hand Illusion</t>
  </si>
  <si>
    <t>NR</t>
  </si>
  <si>
    <t>18 - 28</t>
  </si>
  <si>
    <t>Stroke</t>
  </si>
  <si>
    <t>Y</t>
  </si>
  <si>
    <t>laser single pulse</t>
  </si>
  <si>
    <t>The mean of calibrated intensity cross all subjects was 360.74 mJ and the standard error was 9.12 mJ (n = 27, range from 240 to 440 mJ).</t>
  </si>
  <si>
    <t>Subjective – pain intensity – control asynchronous touch</t>
  </si>
  <si>
    <t>VAS</t>
  </si>
  <si>
    <t>0 – 100</t>
  </si>
  <si>
    <t>no pain to worst imaginable pain</t>
  </si>
  <si>
    <t>within-subjects</t>
  </si>
  <si>
    <t>Subjective – pain intensity – control real hand touch</t>
  </si>
  <si>
    <t>Subjective – pain unpleasentness – control asynchronous touch</t>
  </si>
  <si>
    <t>from ‘not unpleasant’ to ‘very unpleasant’ for unpleasantness</t>
  </si>
  <si>
    <t>Subjective – pain unpleasentness – control real hand touch</t>
  </si>
  <si>
    <t>Mechanical Pain Thresholds and the Rubber Hand Illusion</t>
  </si>
  <si>
    <t>mechanical (pin and pricks)</t>
  </si>
  <si>
    <t>stimulus intensity of 8, 16, 32, 64, 128, 256, and 512 mN.</t>
  </si>
  <si>
    <t>Psychophisical pain threshold (MPT) - baseline v. synchronous touch</t>
  </si>
  <si>
    <t>Mechanical pain threshold</t>
  </si>
  <si>
    <t>log(mN)</t>
  </si>
  <si>
    <t>the higher, the less sensitive to painful stimuli</t>
  </si>
  <si>
    <t>paired t-tests</t>
  </si>
  <si>
    <t>within-subjects baseline v. post-stimulus</t>
  </si>
  <si>
    <t>Psychophisical pain threshold (MBT) - baseline v. asynchronous touch</t>
  </si>
  <si>
    <t>Psychophisical pain threshold (MBT) - baseline v. handle knife touch</t>
  </si>
  <si>
    <t>Psychophisical pain threshold (MBT) - baseline v. no vision</t>
  </si>
  <si>
    <t>Atypical susceptibility to the rubber hand illusion linked to sensory-localised vicarious pain perception</t>
  </si>
  <si>
    <t>21,6(2,15)</t>
  </si>
  <si>
    <t>77,27</t>
  </si>
  <si>
    <t>21,88(3,45)</t>
  </si>
  <si>
    <t>50,87</t>
  </si>
  <si>
    <t>stroke</t>
  </si>
  <si>
    <t>VPQ (16 videos)</t>
  </si>
  <si>
    <t>rate from 1 (very mild pain) to 10 (higly intense pain)</t>
  </si>
  <si>
    <t>10 seconds</t>
  </si>
  <si>
    <t>Proprioceptive drift - async - S/L vs control</t>
  </si>
  <si>
    <t>Proprioceptive drift</t>
  </si>
  <si>
    <t>17,3</t>
  </si>
  <si>
    <t>18,46</t>
  </si>
  <si>
    <t>3,04</t>
  </si>
  <si>
    <t>18,54</t>
  </si>
  <si>
    <t>t test</t>
  </si>
  <si>
    <t>&lt;0,005</t>
  </si>
  <si>
    <t>21,53(3,1)</t>
  </si>
  <si>
    <t>73,68</t>
  </si>
  <si>
    <t>Proprioceptive drift - async - S/L vs A/G</t>
  </si>
  <si>
    <t>-5,88</t>
  </si>
  <si>
    <t>22,51</t>
  </si>
  <si>
    <t>3,54</t>
  </si>
  <si>
    <t>Proprioceptive drift - S/L - sync vs async</t>
  </si>
  <si>
    <t>21,36</t>
  </si>
  <si>
    <t>22,72</t>
  </si>
  <si>
    <t>0,84</t>
  </si>
  <si>
    <t>0,4</t>
  </si>
  <si>
    <t>within</t>
  </si>
  <si>
    <t>Proprioceptive drift - Control - sync vs async</t>
  </si>
  <si>
    <t>15,96</t>
  </si>
  <si>
    <t>23,38</t>
  </si>
  <si>
    <t>4,52</t>
  </si>
  <si>
    <t>&lt;0,001</t>
  </si>
  <si>
    <t>within - subjects</t>
  </si>
  <si>
    <t>Proprioceptive drift - A/G - sync vs async</t>
  </si>
  <si>
    <t>23,51</t>
  </si>
  <si>
    <t>19,78</t>
  </si>
  <si>
    <t>4,72</t>
  </si>
  <si>
    <t>Feeling pain in the rubber hand: Integration of visual,
proprioceptive, and painful stimuli</t>
  </si>
  <si>
    <t>22,2</t>
  </si>
  <si>
    <t>tactile: stroke with brush; tactile-painful: prick with pin</t>
  </si>
  <si>
    <t>4 minutes</t>
  </si>
  <si>
    <t>VAS for RHI - tactile vs tactile-painful</t>
  </si>
  <si>
    <t>Draw a line in a 10cm scale, to measure the strenght of their illusion</t>
  </si>
  <si>
    <t>The higher the value, the stronger the illusion</t>
  </si>
  <si>
    <t>4,15</t>
  </si>
  <si>
    <t>0,59</t>
  </si>
  <si>
    <t>4,66</t>
  </si>
  <si>
    <t>0,68</t>
  </si>
  <si>
    <t>Proprioceptive drift - async - tactile vs tactile-painful</t>
  </si>
  <si>
    <t>Drift was calculated by subtracting the pre-exposure displacement from the post-exposure one. Drift was measured before and after each condition.</t>
  </si>
  <si>
    <t>-0,05</t>
  </si>
  <si>
    <t>0,43</t>
  </si>
  <si>
    <t>0,23</t>
  </si>
  <si>
    <t>0,36</t>
  </si>
  <si>
    <t>F of Fisher</t>
  </si>
  <si>
    <t>1,52</t>
  </si>
  <si>
    <t>Proprioceptive drift - sync - tactile vs tactile-painful</t>
  </si>
  <si>
    <t>1,75</t>
  </si>
  <si>
    <t>0,31</t>
  </si>
  <si>
    <t>2,33</t>
  </si>
  <si>
    <t>0,37</t>
  </si>
  <si>
    <t>The Effect of a Single Session Rubber Hand Illusion on
Pressure Pain Is Not Long-Lasting</t>
  </si>
  <si>
    <t>35.7(8.8)</t>
  </si>
  <si>
    <t>Pressure (baseline dolorimete, 10kg/22lbs)</t>
  </si>
  <si>
    <t>Participants were verbally instructed to indicate the moment when the applied pressure transitioned into pain, which was recorded as the PPT.</t>
  </si>
  <si>
    <t>Subjective - pain threshold - during illusion synchronous vs asynchronous</t>
  </si>
  <si>
    <t>Baseline dolorimete, 10kg/22lbs</t>
  </si>
  <si>
    <t>lbs/cm2</t>
  </si>
  <si>
    <r>
      <rPr>
        <sz val="10"/>
        <color theme="1"/>
        <rFont val="Arial"/>
      </rPr>
      <t xml:space="preserve">This study investigated whether the rubber hand illusion (RHI) — a phenomenon in which synchronous visual and tactile stimulation causes a person to experience ownership of a fake hand — can alter pressure pain thresholds (PPT) and whether any analgesic effect lasts beyond the illusion itself.
</t>
    </r>
    <r>
      <rPr>
        <b/>
        <sz val="10"/>
        <color theme="1"/>
        <rFont val="Arial"/>
      </rPr>
      <t>What they did:</t>
    </r>
    <r>
      <rPr>
        <sz val="10"/>
        <color theme="1"/>
        <rFont val="Arial"/>
      </rPr>
      <t xml:space="preserve">
Recruited 23 healthy volunteers who could experience RHI.
Exposed participants to two conditions:
Illusion (synchronous stroking)
Control (asynchronous stroking)
Measured PPT with an algometer at four time points: baseline, during brush strokes, immediately after, and one minute after the rubber hand was removed.
</t>
    </r>
    <r>
      <rPr>
        <b/>
        <sz val="10"/>
        <color theme="1"/>
        <rFont val="Arial"/>
      </rPr>
      <t>What they found:</t>
    </r>
    <r>
      <rPr>
        <sz val="10"/>
        <color theme="1"/>
        <rFont val="Arial"/>
      </rPr>
      <t xml:space="preserve">
During the illusion, PPT increased (participants tolerated more pressure before feeling pain).
Control condition (asynchronous stroking) actually decreased PPT.
Once the illusion ended, PPT values returned to baseline — the analgesic effect did not persist.
No correlation was found between the strength of the illusion (ownership/proprioceptive drift) and the degree of analgesia.
</t>
    </r>
    <r>
      <rPr>
        <b/>
        <sz val="10"/>
        <color theme="1"/>
        <rFont val="Arial"/>
      </rPr>
      <t>How they did it:</t>
    </r>
    <r>
      <rPr>
        <sz val="10"/>
        <color theme="1"/>
        <rFont val="Arial"/>
      </rPr>
      <t xml:space="preserve">
Within-subject, randomized design, with each participant undergoing both conditions on different days.
Repeated-measures analysis with proper statistical controls.
</t>
    </r>
    <r>
      <rPr>
        <b/>
        <sz val="10"/>
        <color theme="1"/>
        <rFont val="Arial"/>
      </rPr>
      <t>Take-home message:</t>
    </r>
    <r>
      <rPr>
        <sz val="10"/>
        <color theme="1"/>
        <rFont val="Arial"/>
      </rPr>
      <t xml:space="preserve">
A single session of rubber hand illusion can temporarily increase pressure pain threshold, but the effect disappears as soon as the illusion ends. For clinical application in chronic pain, repeated or sustained interventions would be needed.</t>
    </r>
  </si>
  <si>
    <t>Il paper include 4 misurazioni nel tempo del dolore (per sincrono ed asincrono), di cui solamente la seconda durante la RHI, c'interessano anche le differenze within nel tempo tra sincrono ed asincrono?</t>
  </si>
  <si>
    <t>Subjective - pain threshold - mean change synchronous vs asynchronous</t>
  </si>
  <si>
    <t>Modifying Bodily Self-Awareness during Acupuncture Needle
Stimulation Using the Rubber Hand Illusion</t>
  </si>
  <si>
    <t>19 - 29</t>
  </si>
  <si>
    <t>Park sham needle (0.25 mm diameter, 40 mm long)</t>
  </si>
  <si>
    <t>They all received acupuncture stimulation with the real needle at acupoint LI4, on the dorsum of the left hand, radial to the midpoint of the second metacarpal bone, in the left hand in front of a curtain</t>
  </si>
  <si>
    <t>Subjective - pain rating - synchronous vs asynchronous visual feedback (exp1)</t>
  </si>
  <si>
    <t>0 - 100</t>
  </si>
  <si>
    <t>the higher, the more painful</t>
  </si>
  <si>
    <t>mixed between-group analyses of variance (ANOVAs), F of Fisher</t>
  </si>
  <si>
    <t>3,46</t>
  </si>
  <si>
    <r>
      <rPr>
        <b/>
        <sz val="10"/>
        <color theme="1"/>
        <rFont val="Arial"/>
      </rPr>
      <t xml:space="preserve">What the paper is about:
</t>
    </r>
    <r>
      <rPr>
        <sz val="10"/>
        <color theme="1"/>
        <rFont val="Arial"/>
      </rPr>
      <t xml:space="preserve">The study investigates how modifying bodily self-awareness with the Rubber Hand Illusion (RHI) influences responses to acupuncture needle stimulation. Specifically, the researchers asked whether changes in body ownership (feeling the rubber hand as one’s own) and visual expectation (seeing a needle penetrate the rubber hand) affect subjective pain perception and physiological responses.
</t>
    </r>
    <r>
      <rPr>
        <b/>
        <sz val="10"/>
        <color theme="1"/>
        <rFont val="Arial"/>
      </rPr>
      <t xml:space="preserve">What they did:
</t>
    </r>
    <r>
      <rPr>
        <sz val="10"/>
        <color theme="1"/>
        <rFont val="Arial"/>
      </rPr>
      <t xml:space="preserve">Participants: 31 healthy young adults split across two experiments.
Experiment 1 (with visual expectation): Participants saw a needle inserted into the rubber hand at the same time as their real hidden hand was needled.
Experiment 2 (without visual expectation): Participants’ real hand was needled without visual feedback of the rubber hand being needled.
In both experiments, the RHI was induced by synchronous vs. asynchronous brush stroking of the rubber and real hands.
</t>
    </r>
    <r>
      <rPr>
        <b/>
        <sz val="10"/>
        <color theme="1"/>
        <rFont val="Arial"/>
      </rPr>
      <t xml:space="preserve">Measures:
</t>
    </r>
    <r>
      <rPr>
        <sz val="10"/>
        <color theme="1"/>
        <rFont val="Arial"/>
      </rPr>
      <t xml:space="preserve">Subjective reports: RHI questionnaire, pain ratings (VAS).
Physiological response: Skin conductance response (SCR) as an index of autonomic arousal.
</t>
    </r>
    <r>
      <rPr>
        <b/>
        <sz val="10"/>
        <color theme="1"/>
        <rFont val="Arial"/>
      </rPr>
      <t xml:space="preserve">How they did it:
</t>
    </r>
    <r>
      <rPr>
        <sz val="10"/>
        <color theme="1"/>
        <rFont val="Arial"/>
      </rPr>
      <t xml:space="preserve">Within-subjects design: Each participant experienced both synchronous and asynchronous stroking conditions.
Between-subjects design: Comparison between participants with and without visual expectation.
Data were analyzed using t-tests and repeated-measures ANOVAs for questionnaire scores, pain ratings, and SCR.
What they found:
The RHI was successfully induced in both experiments (stronger ownership during synchronous stroking).
Pain ratings: No significant differences between synchronous vs. asynchronous stroking, nor between visual vs. no visual expectation.
Physiological responses (SCR):
With visual expectation (Exp. 1), synchronous stroking led to stronger autonomic responses to acupuncture than asynchronous stroking.
Without visual expectation (Exp. 2), the opposite trend was observed (weaker response in synchronous vs. asynchronous).
Overall, visual expectation of acupuncture drove stronger sympathetic activation.
</t>
    </r>
    <r>
      <rPr>
        <b/>
        <sz val="10"/>
        <color theme="1"/>
        <rFont val="Arial"/>
      </rPr>
      <t>Take-home message</t>
    </r>
    <r>
      <rPr>
        <sz val="10"/>
        <color theme="1"/>
        <rFont val="Arial"/>
      </rPr>
      <t>:
The study shows that visual expectation, rather than altered body ownership alone, plays the key role in modulating autonomic responses to acupuncture. While subjective pain ratings did not change, the body’s physiological arousal to acupuncture was shaped by what participants saw and expected. This highlights the importance of visual and contextual factors in acupuncture and, more broadly, in how bodily self-awareness influences clinical treatment effects.</t>
    </r>
  </si>
  <si>
    <t>There might be some physiological measures of interest</t>
  </si>
  <si>
    <t>N</t>
  </si>
  <si>
    <t>Subjective - pain rating - synchronous vs asynchronous no visual feedback (exp2)</t>
  </si>
  <si>
    <t>The role of visual expectations in acupuncture analgesia: A quantitative electroencephalography study</t>
  </si>
  <si>
    <t>22.6(13.2)</t>
  </si>
  <si>
    <t>Acupuncture needles (40 mm long and 0.20 mm in diameter)</t>
  </si>
  <si>
    <t>rotating the needle at a frequency of 1 Hz for a period of 2 s: 60 stimulations were included over 10 min of acupuncture stimulation. Insert 15 mm deep.</t>
  </si>
  <si>
    <t>10 minutes</t>
  </si>
  <si>
    <t>Subjective - pain rating - synchronous</t>
  </si>
  <si>
    <t>Deqi sensations (soreness, aching, deep pressure, heaviness, fullness/distension, tingling, numbness, sharp pain, dull pain, warmth, cold, and throbbing) ,Korean version of the Massachusetts General Hospital Acupuncture Sensation Scale (MASS),</t>
  </si>
  <si>
    <t>0 (no perceived tactile sensation) to 10 (very intense tactile sensation)</t>
  </si>
  <si>
    <t>one sample t-test</t>
  </si>
  <si>
    <r>
      <rPr>
        <b/>
        <sz val="10"/>
        <color theme="1"/>
        <rFont val="Arial"/>
      </rPr>
      <t xml:space="preserve">What they did
</t>
    </r>
    <r>
      <rPr>
        <sz val="10"/>
        <color theme="1"/>
        <rFont val="Arial"/>
      </rPr>
      <t xml:space="preserve">The researchers conducted an experiment with 40 healthy volunteers. They measured the participants' tolerance for heat pain before and after acupuncture treatment. They also used electroencephalography (EEG) to measure changes in brain oscillations during the process.
</t>
    </r>
    <r>
      <rPr>
        <b/>
        <sz val="10"/>
        <color theme="1"/>
        <rFont val="Arial"/>
      </rPr>
      <t xml:space="preserve">How they did it
</t>
    </r>
    <r>
      <rPr>
        <sz val="10"/>
        <color theme="1"/>
        <rFont val="Arial"/>
      </rPr>
      <t xml:space="preserve">The study used a rubber-hand illusion (RHI) paradigm to isolate the different components of acupuncture. Participants underwent acupuncture under three conditions on three separate days: Real-hand condition: Acupuncture was applied to the participant's actual hand, which involved visual, tactile, and body ownership components. Synchronous rubber-hand condition: The participant saw a rubber hand being stimulated with a needle while their real, hidden hand was stroked synchronously with it. This condition involved visual and body ownership components
Asynchronous rubber-hand condition: The participant saw a rubber hand being stimulated, but the stroking of their real hand was done asynchronously. This condition involved only the visual component.
The researchers found that pain tolerance increased significantly after acupuncture in all three conditions. The experience of  deqi (the characteristic sensations of acupuncture, such as soreness or aching) was a contributing factor to pain relief only under the synchronous rubber-hand condition. Changes in brain waves (increased delta waves and decreased theta, alpha, beta, and gamma waves) were observed in all three conditions, suggesting a state of relaxation.
</t>
    </r>
    <r>
      <rPr>
        <b/>
        <sz val="10"/>
        <color theme="1"/>
        <rFont val="Arial"/>
      </rPr>
      <t xml:space="preserve">Take-home message
</t>
    </r>
    <r>
      <rPr>
        <sz val="10"/>
        <color theme="1"/>
        <rFont val="Arial"/>
      </rPr>
      <t>The study's findings suggest that visual expectation of treatment is the most influential factor in acupuncture analgesia. This means that simply seeing the acupuncture procedure can produce a significant pain-relieving effect, even when tactile sensation and the feeling of body ownership are not fully present. The study concludes that the "top-down" cognitive elements of acupuncture, such as expectation and context, are crucial for its analgesic effects</t>
    </r>
  </si>
  <si>
    <t>Mean scores reported are mean of sums; Not sure about the inclusion of EEG; We have pain perception, do we need pain tolerance?</t>
  </si>
  <si>
    <t>Subjective - pain rating - asynchronous</t>
  </si>
  <si>
    <t>Subjective - pain rating - synchronous vs asynchronous</t>
  </si>
  <si>
    <t>paired t-test</t>
  </si>
  <si>
    <t>Infrared heat stimuli</t>
  </si>
  <si>
    <t>38-39 C</t>
  </si>
  <si>
    <t>8-10 second</t>
  </si>
  <si>
    <t>Pain tolerance - finger withdrawal latency - sync vs async</t>
  </si>
  <si>
    <t>Finger withdrawal from thermal stimulus</t>
  </si>
  <si>
    <t>Participants were told to
withdraw their fingers when they could no longer tolerate the
pain caused by the heat stimulation.</t>
  </si>
  <si>
    <t>The longer, the higher the pain tolerance</t>
  </si>
  <si>
    <t>Placebo Analgesia From a Rubber Hand</t>
  </si>
  <si>
    <t>21.25(6.06)</t>
  </si>
  <si>
    <t>Stroke, tap, lift of middle finger</t>
  </si>
  <si>
    <t>Thermal, contact thermode(Pathway CHEPS, Medoc, Ramat Yishai, Israel)</t>
  </si>
  <si>
    <t>Increasing in temperature at a rate of 10C per second from a baseline of 35C, before maintaining at the destination temperature for the remainder of the 5-second duration.</t>
  </si>
  <si>
    <t>5 seconds</t>
  </si>
  <si>
    <t>Subjective - pain intensity - synchronous - treatment placebo - conditioning vs post-treatment</t>
  </si>
  <si>
    <t>pain intensity: sensory dimension of pain: 0 corresponded to ‘no pain’; ‘100’ to ‘intolerable pain’</t>
  </si>
  <si>
    <t>0 corresponded to ‘no pain’; ‘100’ to ‘intolerable pain’</t>
  </si>
  <si>
    <t>F</t>
  </si>
  <si>
    <t>1, 76</t>
  </si>
  <si>
    <r>
      <rPr>
        <b/>
        <sz val="10"/>
        <color theme="1"/>
        <rFont val="Arial"/>
      </rPr>
      <t xml:space="preserve">What the paper is about:
</t>
    </r>
    <r>
      <rPr>
        <sz val="10"/>
        <color theme="1"/>
        <rFont val="Arial"/>
      </rPr>
      <t xml:space="preserve">This study investigates whether the rubber hand illusion—a multisensory body-ownership illusion—can produce placebo analgesia, i.e., reductions in pain perception similar to those seen in placebo responses.
</t>
    </r>
    <r>
      <rPr>
        <b/>
        <sz val="10"/>
        <color theme="1"/>
        <rFont val="Arial"/>
      </rPr>
      <t xml:space="preserve">What they did:
</t>
    </r>
    <r>
      <rPr>
        <sz val="10"/>
        <color theme="1"/>
        <rFont val="Arial"/>
      </rPr>
      <t xml:space="preserve">Researchers induced the rubber hand illusion in participants and then tested whether this altered body ownership experience could modulate their perception of pain.
</t>
    </r>
    <r>
      <rPr>
        <b/>
        <sz val="10"/>
        <color theme="1"/>
        <rFont val="Arial"/>
      </rPr>
      <t xml:space="preserve">How they did it:
</t>
    </r>
    <r>
      <rPr>
        <sz val="10"/>
        <color theme="1"/>
        <rFont val="Arial"/>
      </rPr>
      <t xml:space="preserve">Participants experienced synchronous stroking of their real hidden hand and a visible rubber hand to induce the illusion of ownership over the rubber hand.
They were then exposed to painful stimuli while their pain ratings were collected.
Control conditions (e.g., asynchronous stroking or no illusion) were used to compare whether changes in pain perception were specific to the illusion.
</t>
    </r>
    <r>
      <rPr>
        <b/>
        <sz val="10"/>
        <color theme="1"/>
        <rFont val="Arial"/>
      </rPr>
      <t xml:space="preserve">Take-home message:
</t>
    </r>
    <r>
      <rPr>
        <sz val="10"/>
        <color theme="1"/>
        <rFont val="Arial"/>
      </rPr>
      <t>The rubber hand illusion can lead to placebo-like reductions in pain perception, showing that altered body ownership can influence pain processing. This highlights a link between multisensory integration, body representation, and placebo analgesia.</t>
    </r>
  </si>
  <si>
    <t>within, are we interested in pain unplesantness as well?</t>
  </si>
  <si>
    <t>Subjective - pain intensity - synchronous - control - conditioning vs post-treatment</t>
  </si>
  <si>
    <t>Subjective - pain intensity - synchronous - conditioning - tratment placebo vs control</t>
  </si>
  <si>
    <t>Subjective - pain intensity - asynchronous - treatment placebo - conditioning vs post-treatment</t>
  </si>
  <si>
    <t>Subjective - pain intensity - asynchronous - control - conditioning vs post-treatment</t>
  </si>
  <si>
    <t>Subjective - pain intensity - synchronous - post-treatment - treatment placebo vs control</t>
  </si>
  <si>
    <t>Subjective - pain intensity - synchronous - treatment placebo - pre-treatment vs post-treatment</t>
  </si>
  <si>
    <t>6 seconds</t>
  </si>
  <si>
    <t>Pain unplesantness - subjective - Control - pre_treatment - sync vs async</t>
  </si>
  <si>
    <t>Sensory dimension</t>
  </si>
  <si>
    <t>0 was ‘not unpleasant at
all’ and 100 ‘most unpleasant imaginable</t>
  </si>
  <si>
    <t>The higher, the more unplesant</t>
  </si>
  <si>
    <t>Eliciting the rubber hand illusion by the activation of nociceptive C and A(delta) fibers</t>
  </si>
  <si>
    <t>26,8 (3,49)</t>
  </si>
  <si>
    <t>46,6</t>
  </si>
  <si>
    <t>laser</t>
  </si>
  <si>
    <t>Heat</t>
  </si>
  <si>
    <t>0.33 Hz</t>
  </si>
  <si>
    <t>120 seconds</t>
  </si>
  <si>
    <t>RHI illusion - subjective - exp 1A - S1 - sync vs async</t>
  </si>
  <si>
    <t>N-RHI</t>
  </si>
  <si>
    <t>the lower, the stronger the illusion</t>
  </si>
  <si>
    <t>0,03</t>
  </si>
  <si>
    <t>2,08</t>
  </si>
  <si>
    <t>-1,1</t>
  </si>
  <si>
    <t>2,01</t>
  </si>
  <si>
    <t>3,06</t>
  </si>
  <si>
    <t>0,56</t>
  </si>
  <si>
    <t>RHI illusion - subjective - exp 1A - S2 - sync vs async</t>
  </si>
  <si>
    <t>-0,23</t>
  </si>
  <si>
    <t>2,18</t>
  </si>
  <si>
    <t>-1,3</t>
  </si>
  <si>
    <t>2,05</t>
  </si>
  <si>
    <t>V, paired rank-biserial correlation (rC)</t>
  </si>
  <si>
    <t>rc = 0,74</t>
  </si>
  <si>
    <t>24,26 (2,86)</t>
  </si>
  <si>
    <t>RHI illusion - subjective - exp 2A - S1 - sync vs async</t>
  </si>
  <si>
    <t>-0,5</t>
  </si>
  <si>
    <t>2,03</t>
  </si>
  <si>
    <t>-1,87</t>
  </si>
  <si>
    <t>1,68</t>
  </si>
  <si>
    <t>3,58</t>
  </si>
  <si>
    <t>0,65</t>
  </si>
  <si>
    <t>RHI illusion - subjective - exp 2A - S2 - sync vs async</t>
  </si>
  <si>
    <t>-0,47</t>
  </si>
  <si>
    <t>2,13</t>
  </si>
  <si>
    <t>1,46</t>
  </si>
  <si>
    <t>rc = 0,96</t>
  </si>
  <si>
    <t>27,06 (5,72)</t>
  </si>
  <si>
    <t>53,3</t>
  </si>
  <si>
    <t>RHI illusion - subjective - exp 3A - S1 - sync vs async</t>
  </si>
  <si>
    <t>2,06</t>
  </si>
  <si>
    <t>-0,8</t>
  </si>
  <si>
    <t>1,99</t>
  </si>
  <si>
    <t>rc = 0,95</t>
  </si>
  <si>
    <t>RHI illusion - subjective - exp 3A - S2 - sync vs async</t>
  </si>
  <si>
    <t>0,47</t>
  </si>
  <si>
    <t>1,96</t>
  </si>
  <si>
    <t>-0,7</t>
  </si>
  <si>
    <t>2,12</t>
  </si>
  <si>
    <t>RHI illusion - subjective - exp 3A - S1 - sync vs hand</t>
  </si>
  <si>
    <t>0,44</t>
  </si>
  <si>
    <t>2,26</t>
  </si>
  <si>
    <t>rc = 0,01</t>
  </si>
  <si>
    <t>RHI illusion - subjective - exp 3A - S2 - sync vs hand</t>
  </si>
  <si>
    <t>0,6</t>
  </si>
  <si>
    <t>103,5</t>
  </si>
  <si>
    <t>rc = -0,1</t>
  </si>
  <si>
    <t>RHI illusion - subjective - exp 3A - S1 - sync vs light</t>
  </si>
  <si>
    <t>-0,13</t>
  </si>
  <si>
    <t>2,21</t>
  </si>
  <si>
    <t>1,4</t>
  </si>
  <si>
    <t>0,26</t>
  </si>
  <si>
    <t>RHI illusion - subjective - exp 3A - S2 - sync vs light</t>
  </si>
  <si>
    <t>2,29</t>
  </si>
  <si>
    <t>104,5</t>
  </si>
  <si>
    <t>rc = 0,37</t>
  </si>
  <si>
    <t>Synchronous Stimulation With Light and Heat Induces
Body Ownership and Reduces Pain Perception</t>
  </si>
  <si>
    <t>28.2(9.6)</t>
  </si>
  <si>
    <t>Thermal, heat contact (30 mm x 30 mm) of a thermode (Somedic SenseLab MSA, Sweden) attached to the real hand. On the RHI the used a Red light, emitted by a projector (InFocus IN26 Projector, InFocus International B.V.)</t>
  </si>
  <si>
    <t>Thermal, contact thermode</t>
  </si>
  <si>
    <t>The baseline temperature was set at 33°C and increased during the trial to the individual adjusted temperature (mean = 48.29, sd= 1.57)</t>
  </si>
  <si>
    <t>2 seconds</t>
  </si>
  <si>
    <t>Subjective - pain intensity - RHI - synchronous vs asynchronous</t>
  </si>
  <si>
    <t>pain intensity: VAS, 100mm</t>
  </si>
  <si>
    <t>0 corresponded to ‘no pain’; ‘100’ to ‘worst imaginable pain’</t>
  </si>
  <si>
    <r>
      <rPr>
        <b/>
        <sz val="10"/>
        <color theme="1"/>
        <rFont val="Arial"/>
      </rPr>
      <t xml:space="preserve">What the paper is about:
</t>
    </r>
    <r>
      <rPr>
        <sz val="10"/>
        <color theme="1"/>
        <rFont val="Arial"/>
      </rPr>
      <t xml:space="preserve">This study explores whether synchronous stimulation with light and heat can induce a sense of body ownership and lead to reductions in pain perception, similar to other multisensory illusions like the rubber hand illusion.
</t>
    </r>
    <r>
      <rPr>
        <b/>
        <sz val="10"/>
        <color theme="1"/>
        <rFont val="Arial"/>
      </rPr>
      <t xml:space="preserve">What they did:
</t>
    </r>
    <r>
      <rPr>
        <sz val="10"/>
        <color theme="1"/>
        <rFont val="Arial"/>
      </rPr>
      <t xml:space="preserve">The researchers exposed participants to synchronous vs. asynchronous light and heat stimulation on their hand and tested its impact on both the subjective feeling of body ownership and their pain responses.
</t>
    </r>
    <r>
      <rPr>
        <b/>
        <sz val="10"/>
        <color theme="1"/>
        <rFont val="Arial"/>
      </rPr>
      <t xml:space="preserve">How they did it:
</t>
    </r>
    <r>
      <rPr>
        <sz val="10"/>
        <color theme="1"/>
        <rFont val="Arial"/>
      </rPr>
      <t xml:space="preserve">Participants received synchronous light and heat stimulation to induce an altered sense of embodiment.
In control conditions, stimulation was applied asynchronously.
Body ownership was assessed through questionnaires, while pain sensitivity was measured through responses to noxious stimuli.
</t>
    </r>
    <r>
      <rPr>
        <b/>
        <sz val="10"/>
        <color theme="1"/>
        <rFont val="Arial"/>
      </rPr>
      <t xml:space="preserve">Take-home message:
</t>
    </r>
    <r>
      <rPr>
        <sz val="10"/>
        <color theme="1"/>
        <rFont val="Arial"/>
      </rPr>
      <t>Synchronous multisensory stimulation with light and heat can enhance body ownership and reduce pain perception, supporting the idea that multisensory integration of sensory cues influences both body representation and pain modulation.</t>
    </r>
  </si>
  <si>
    <t>Questo studio ha sia induzione RHI con dolore ed analgesia dolore con RHI</t>
  </si>
  <si>
    <t>RHI induction on pain intensity - synchronous vs asynchronous</t>
  </si>
  <si>
    <t>body ownership: ad-hoc built questionnaires of 9 items</t>
  </si>
  <si>
    <t>numerical rating scale ranging from 0 (not at all) to 10 (most intense).</t>
  </si>
  <si>
    <t>the higher, the stronger the body ownership</t>
  </si>
  <si>
    <t>&lt;0.001</t>
  </si>
  <si>
    <t>Does Nice or Nasty Matter? The Intensity of Touch Modulates the Rubber Hand Illusion</t>
  </si>
  <si>
    <t>range 18 - 38</t>
  </si>
  <si>
    <t>Rubbing with a pinwheel</t>
  </si>
  <si>
    <t>Pinwheel</t>
  </si>
  <si>
    <t>Rubbing on the hand</t>
  </si>
  <si>
    <t>1 minute</t>
  </si>
  <si>
    <t>0 'not at all painful' and 100 'extremely painful'</t>
  </si>
  <si>
    <r>
      <rPr>
        <b/>
        <sz val="10"/>
        <color theme="1"/>
        <rFont val="Arial"/>
      </rPr>
      <t xml:space="preserve">What they did
</t>
    </r>
    <r>
      <rPr>
        <sz val="10"/>
        <color theme="1"/>
        <rFont val="Arial"/>
      </rPr>
      <t xml:space="preserve">The researchers wanted to find out if the pleasantness or unpleasantness of a touch affects a person's sense of body ownership. They had 21 participants experience the RHI under three different touch conditions: pleasant, unpleasant, and neutral. They measured the strength of the illusion in two ways: by the misplacement of the participant's real hand towards the fake hand (proprioceptive drift) and by a questionnaire on the subjective feeling of ownership (embodiment).
</t>
    </r>
    <r>
      <rPr>
        <b/>
        <sz val="10"/>
        <color theme="1"/>
        <rFont val="Arial"/>
      </rPr>
      <t xml:space="preserve">How they did it
</t>
    </r>
    <r>
      <rPr>
        <sz val="10"/>
        <color theme="1"/>
        <rFont val="Arial"/>
      </rPr>
      <t xml:space="preserve">The study used a well-established RHI paradigm. Participants sat with their left hand hidden from view and a fake rubber hand placed in front of them. An experimenter then stroked both the participant's hidden hand and the visible rubber hand either synchronously or asynchronously. The types of touch were:
Pleasant: Gentle stroking with a brush.
Unpleasant: Rubbing with a pinwheel.
Neutral: Tapping with a stick.
Participants rated the valence (pleasantness/unpleasantness) and intensity of the touch, and researchers also recorded physiological arousal using skin conductance.
</t>
    </r>
    <r>
      <rPr>
        <b/>
        <sz val="10"/>
        <color theme="1"/>
        <rFont val="Arial"/>
      </rPr>
      <t xml:space="preserve">Take-home message
</t>
    </r>
    <r>
      <rPr>
        <sz val="10"/>
        <color theme="1"/>
        <rFont val="Arial"/>
      </rPr>
      <t>The study's results showed that the subjective intensity of the touch is the most important factor in modulating the RHI, not its pleasantness. Both pleasant and painful (unpleasant) touches, which are both highly intense and involve internal body sensations (interoceptive activation), produced a stronger illusion than a neutral touch. This suggests that the brain integrates these intense internal body signals to create a coherent sense of body ownership, regardless of whether the feeling is "nice" or "nasty".</t>
    </r>
  </si>
  <si>
    <t>within, hanno anche skin conductance, ci interessa?</t>
  </si>
  <si>
    <t>RHI induction on pain intensity - proprioceptive drift - synchronous vs asynchronous</t>
  </si>
  <si>
    <t>proprioceptive drift: To measure the extent to which the proprioceptive perceived position of one’s own hand was influenced by incongruent multisensory signals (induction phase of the RHI), proprioceptive drift was calculated by subtracting the mean baseline pointing response from the mean test pointing response for each experimental condition.</t>
  </si>
  <si>
    <t>the higher, the stronger the proprioceptive drift</t>
  </si>
  <si>
    <t>RHI induction on pain intensity -subjective embodiment - synchronous vs asynchronous</t>
  </si>
  <si>
    <t>subjective embodiment: Embodiment Questionnaire, 9 items</t>
  </si>
  <si>
    <t>For each statement participants are asked to report the level of agreement on a 7-point Likert scale ranging from -3 (strongly disagree) to +3 (strongly agree).</t>
  </si>
  <si>
    <t>Ouch! My phantom leg jumps/hurts when you stab ``my'' virtual hand Induced by the Rubber Hand Illusion</t>
  </si>
  <si>
    <t>64(15)</t>
  </si>
  <si>
    <t>48(14)</t>
  </si>
  <si>
    <t>Proposing to the rubber hand threatning trials and measure embodiment</t>
  </si>
  <si>
    <t>syringe, blunt and stabbing knives, mousetrap set and set off, high-frequency vibration, and boiling water</t>
  </si>
  <si>
    <t>RHI induction on threatning stimulus - subjective embodiment - synaesthetes (condition) vs Non-synaesthetes (control) - syringe</t>
  </si>
  <si>
    <t>Rubber Hand Embodiment Scale (RHES)</t>
  </si>
  <si>
    <t>17, 20</t>
  </si>
  <si>
    <r>
      <rPr>
        <sz val="10"/>
        <color theme="1"/>
        <rFont val="Arial"/>
      </rPr>
      <t xml:space="preserve">The paper "Ouch! My phantom leg jumps/hurts when you stab 'my' virtual hand" describes a serendipitous finding during a study on upper-limb embodiment. The research found that lower-limb amputees who experience pain synaesthesia felt pain or a motor response in their phantom leg when a hand they had "embodied" was threatened.
</t>
    </r>
    <r>
      <rPr>
        <b/>
        <sz val="10"/>
        <color theme="1"/>
        <rFont val="Arial"/>
      </rPr>
      <t xml:space="preserve">What they did
</t>
    </r>
    <r>
      <rPr>
        <sz val="10"/>
        <color theme="1"/>
        <rFont val="Arial"/>
      </rPr>
      <t xml:space="preserve">The researchers conducted an upper-limb embodiment study using a modified rubber-hand illusion. The study's original purpose was to investigate this illusion in upper-limb amputees, with lower-limb amputees serving as a control group. Participants included eight people with pain synaesthesia and 31 control subjects.
</t>
    </r>
    <r>
      <rPr>
        <b/>
        <sz val="10"/>
        <color theme="1"/>
        <rFont val="Arial"/>
      </rPr>
      <t xml:space="preserve">How they did it
</t>
    </r>
    <r>
      <rPr>
        <sz val="10"/>
        <color theme="1"/>
        <rFont val="Arial"/>
      </rPr>
      <t xml:space="preserve">The study used a mirror box setup, which allowed participants to view a real or a highly realistic fake rubber hand as if it was their own. Participants' real or phantom hands were hidden behind a mirror. Researchers then applied various stimuli to the visible hand, ranging from non-threatening (e.g., a cotton bud) to potentially painful or threatening (e.g., a retractable knife, mousetrap, or syringe). The researchers documented subjective reports of sensations in the hidden or phantom limb and also measured emotional empathy through a questionnaire.
</t>
    </r>
    <r>
      <rPr>
        <b/>
        <sz val="10"/>
        <color theme="1"/>
        <rFont val="Arial"/>
      </rPr>
      <t xml:space="preserve">Take-home message
</t>
    </r>
    <r>
      <rPr>
        <sz val="10"/>
        <color theme="1"/>
        <rFont val="Arial"/>
      </rPr>
      <t>The key finding is that a visual threat to an embodied hand can trigger pain and motor responses in a different, non-existent body part (a phantom leg) for individuals with pain synaesthesia. The study suggests that this condition has not only a sensory pain component but also a crucial motor component, which manifests in avoidance, contraction, and withdrawal "actions". This implies a strong link between visual perception of a threat and the brain's motor and pain networks, even across different limbs. The study also found no association between pain synaesthesia and emotional empathy scores.</t>
    </r>
  </si>
  <si>
    <t>c'interessano anche gli embodiment non pericolosi?</t>
  </si>
  <si>
    <t>RHI induction on threatning stimulus - subjective embodiment - synaesthetes (condition) vs Non-synaesthetes (control) - blunt knife</t>
  </si>
  <si>
    <t>RHI induction on threatning stimulus - subjective embodiment - synaesthetes (condition) vs Non-synaesthetes (control) - stabbing knife</t>
  </si>
  <si>
    <t>RHI induction on threatning stimulus - subjective embodiment - synaesthetes (condition) vs Non-synaesthetes (control) - mousetrap set</t>
  </si>
  <si>
    <t>RHI induction on threatning stimulus - subjective embodiment - synaesthetes (condition) vs Non-synaesthetes (control) - mousetrap set off</t>
  </si>
  <si>
    <t>RHI induction on threatning stimulus - subjective embodiment - synaesthetes (condition) vs Non-synaesthetes (control) - high-frequency vibration</t>
  </si>
  <si>
    <t>RHI induction on threatning stimulus - subjective embodiment - synaesthetes (condition) vs Non-synaesthetes (control) - boiling water</t>
  </si>
  <si>
    <t>Feeling the burn: When it looks like it hurts, and belongs to me, it really does hurt more</t>
  </si>
  <si>
    <t>30(6)</t>
  </si>
  <si>
    <t>Cold pressor</t>
  </si>
  <si>
    <t>water between 2 and 4 degree</t>
  </si>
  <si>
    <t>Keep until they could not longer tolerate it</t>
  </si>
  <si>
    <t>Pain PDT - subjective - exp1 - main effect - pre-post Healthy RHI</t>
  </si>
  <si>
    <t>PDT</t>
  </si>
  <si>
    <t>The longer, the more resistant</t>
  </si>
  <si>
    <t>paired t test</t>
  </si>
  <si>
    <r>
      <rPr>
        <sz val="10"/>
        <color rgb="FF000000"/>
        <rFont val="Arial"/>
      </rPr>
      <t xml:space="preserve">The study investigates how visual appearance of injury combined with illusory body ownership (via the rubber hand illusion, RHI) influences pain experience. Specifically, it examines whether embodying a healthy versus a visibly wounded rubber hand changes pain tolerance, intensity, and unpleasantness.
</t>
    </r>
    <r>
      <rPr>
        <b/>
        <sz val="10"/>
        <color rgb="FF000000"/>
        <rFont val="Arial"/>
      </rPr>
      <t>What they have done:</t>
    </r>
    <r>
      <rPr>
        <sz val="10"/>
        <color rgb="FF000000"/>
        <rFont val="Arial"/>
      </rPr>
      <t xml:space="preserve">
The authors ran two experiments:
Tested whether embodying a healthy or a wounded rubber hand alters pain tolerance (using the cold pressor test) and tactile sensitivity.
Explored how a wounded rubber hand illusion interacts with experimentally induced pain (capsaicin-induced hyperalgesia), focusing on pain intensity and unpleasantness.
</t>
    </r>
    <r>
      <rPr>
        <b/>
        <sz val="10"/>
        <color rgb="FF000000"/>
        <rFont val="Arial"/>
      </rPr>
      <t>How they have done it:</t>
    </r>
    <r>
      <rPr>
        <sz val="10"/>
        <color rgb="FF000000"/>
        <rFont val="Arial"/>
      </rPr>
      <t xml:space="preserve">
Experiment 1 (15 participants): Participants underwent the RHI with either a healthy rubber hand or a wounded one (bloody laceration). After induction, they placed their real hand into an ice-water bath (cold pressor test) to measure pain tolerance. Tactile sensitivity was assessed with monofilaments.
Results: Pain tolerance increased by ~19% after the healthy RHI, but decreased by ~11% after the wounded RHI. Tactile sensitivity was reduced after the healthy RHI but not after the wounded one.
Experiment 2 (16 participants): Participants experienced a wounded RHI both before and after capsaicin was applied to induce localized hyperalgesia. Stroking synchrony (synchronous vs. asynchronous) manipulated illusion strength.
Results: Pain was perceived as more intense (+25%) and more unpleasant (+49%) during synchronous wounded RHI compared with asynchronous trials, but only on the illusion arm. The control arm was unaffected.
</t>
    </r>
    <r>
      <rPr>
        <b/>
        <sz val="10"/>
        <color rgb="FF000000"/>
        <rFont val="Arial"/>
      </rPr>
      <t>Take-home message:</t>
    </r>
    <r>
      <rPr>
        <sz val="10"/>
        <color rgb="FF000000"/>
        <rFont val="Arial"/>
      </rPr>
      <t xml:space="preserve">
Body ownership illusions can modulate pain depending on whether the embodied limb appears healthy or injured.
A healthy embodied limb can increase pain tolerance and dampen tactile sensitivity, suggesting a potential analgesic effect.
A wounded embodied limb, however, lowers tolerance and amplifies both intensity and unpleasantness of pain, even when the injury is illusory.
This shows that our perception of pain is not only shaped by sensory input but also by visual context, embodiment, and self-attribution of injury. Clinically, it highlights how body illusions and visual feedback can either relieve or worsen pain, depending on what the patient “sees” as belonging to their body</t>
    </r>
  </si>
  <si>
    <t>31 (7)</t>
  </si>
  <si>
    <t>Pain intensity - subjective - exp2 - main effect - left-right Healthy RHI - primary hyperalgesia</t>
  </si>
  <si>
    <t>VAS - intensity</t>
  </si>
  <si>
    <t>Higher scores, more intense</t>
  </si>
  <si>
    <t>.29</t>
  </si>
  <si>
    <t>RHI to the left hand, no RHI to the right hand. Here we report the difference between the two hands.</t>
  </si>
  <si>
    <t>VAS - unpleasantness</t>
  </si>
  <si>
    <t>Higher scores, more unpleasant</t>
  </si>
  <si>
    <t>.31</t>
  </si>
  <si>
    <t>Pain intensity - subjective - exp2 - main effect - left-right Healthy RHI - secondary hyperalgesia</t>
  </si>
  <si>
    <t>0.8</t>
  </si>
  <si>
    <t>.44</t>
  </si>
  <si>
    <t>Interoception visualization relieves acute pain</t>
  </si>
  <si>
    <t>22,17(2,36)</t>
  </si>
  <si>
    <t>54,17</t>
  </si>
  <si>
    <t>Electrical skin stimuli</t>
  </si>
  <si>
    <t>From an initial amperage of 0 mA, we increased the stimulus intensity incrementally in 0.5-mA steps until the participant reported a score of 4 (“just beginning to feel pain”)</t>
  </si>
  <si>
    <t>Pain threshold - subjective - RHI vs Object</t>
  </si>
  <si>
    <t>Verbal Rating Scale</t>
  </si>
  <si>
    <t>0 (“no feeling”) to 10 (“the most intense pain imaginable”)</t>
  </si>
  <si>
    <t>The higher the lower the pain threshold</t>
  </si>
  <si>
    <t>0,83</t>
  </si>
  <si>
    <r>
      <rPr>
        <sz val="10"/>
        <color rgb="FF000000"/>
        <rFont val="Arial"/>
      </rPr>
      <t xml:space="preserve">This paper investigates how visualizing interoceptive signals (specifically heartbeats) can influence pain perception. While earlier research suggested that visual feedback of internal states may help chronic pain patients, it was unclear whether combining exteroceptive cues (Rubber Hand Illusion, RHI) with interoceptive feedback (heartbeat visualization) also reduces pain in healthy individuals.
</t>
    </r>
    <r>
      <rPr>
        <b/>
        <sz val="10"/>
        <color rgb="FF000000"/>
        <rFont val="Arial"/>
      </rPr>
      <t xml:space="preserve">What they have done:
</t>
    </r>
    <r>
      <rPr>
        <sz val="10"/>
        <color rgb="FF000000"/>
        <rFont val="Arial"/>
      </rPr>
      <t xml:space="preserve">The authors tested whether synchronizing a flashing LED on a rubber hand (or an object) with participants’ heartbeats would alter pain thresholds, somatosensory evoked potentials (SEPs), and brain oscillations. They also measured changes in bodily self-consciousness (BSC), including sense of ownership and proprioceptive drift.
</t>
    </r>
    <r>
      <rPr>
        <b/>
        <sz val="10"/>
        <color rgb="FF000000"/>
        <rFont val="Arial"/>
      </rPr>
      <t xml:space="preserve">How they have done it:
</t>
    </r>
    <r>
      <rPr>
        <sz val="10"/>
        <color rgb="FF000000"/>
        <rFont val="Arial"/>
      </rPr>
      <t xml:space="preserve">Participants: 24 healthy adults.
Design: 2 × 2 within-subjects design: RHI vs. object control × synchronous vs. asynchronous heartbeat visualization.
Procedure:
Induction of RHI (synchronous stroking of hidden hand and rubber hand).
LED light flashed either in sync or out of sync with the participant’s heartbeat (from a pulse sensor).
Pain induced by electrical skin stimulation while EEG was recorded.
Measures: subjective ownership questionnaires, proprioceptive drift, pain thresholds, SEP components (N140 and P2), and alpha-band activity.
</t>
    </r>
    <r>
      <rPr>
        <b/>
        <sz val="10"/>
        <color rgb="FF000000"/>
        <rFont val="Arial"/>
      </rPr>
      <t xml:space="preserve">Key findings:
</t>
    </r>
    <r>
      <rPr>
        <sz val="10"/>
        <color rgb="FF000000"/>
        <rFont val="Arial"/>
      </rPr>
      <t>Pain thresholds were not significantly changed by RHI or interoception.
EEG results: synchronous heartbeat visualization significantly suppressed the P2 component of SEPs, which reflects affective-motivational pain processing.
Alpha-band activity: RHI reduced pre-stimulus alpha power, linked to cortical excitability, but this effect was independent of interoceptive feedback.
Ownership: RHI increased sense of ownership compared to the object, confirming successful illusion induction.
Importantly, the analgesic effect of interoceptive visualization occurred independently of body ownership.
Take-home message:
Visualizing interoceptive signals, such as heartbeats, can dampen neural processing of acute pain even without subjective changes in bodily self-consciousness. This highlights interoception as a powerful channel for pain modulation and suggests that cardio-visual feedback could be developed as a novel non-pharmacological pain relief strategy, potentially useful for chronic pain rehabilitation</t>
    </r>
  </si>
  <si>
    <t>within, eta partial = 0,058</t>
  </si>
  <si>
    <t>Pain threshold - subjective - sync vs async</t>
  </si>
  <si>
    <t>within, eta partial = 0,010</t>
  </si>
  <si>
    <t>Pain threshold - subjective - interaction - RHI vs Object - sync vs async</t>
  </si>
  <si>
    <t>0,1</t>
  </si>
  <si>
    <t>0,75</t>
  </si>
  <si>
    <t>within, eta partial = 0,004</t>
  </si>
  <si>
    <t>The rubber hand illusion increases heat pain threshold</t>
  </si>
  <si>
    <t>22,36(2,25)</t>
  </si>
  <si>
    <t>56,66</t>
  </si>
  <si>
    <t>From 37C to increase of 0,5 until pain experienced</t>
  </si>
  <si>
    <t>Medoc Pathway Pain and Sensory Evalutation System</t>
  </si>
  <si>
    <t>Each measurement started at 37 °C, and the temperature was increased by 0.5 °C/s until participants first experienced pain and stopped the stimulus</t>
  </si>
  <si>
    <t>Higher the temperature to stop, higher the pain threshold</t>
  </si>
  <si>
    <t>47,79</t>
  </si>
  <si>
    <t>2,95</t>
  </si>
  <si>
    <t>47,52</t>
  </si>
  <si>
    <t>2,2</t>
  </si>
  <si>
    <r>
      <rPr>
        <sz val="10"/>
        <color rgb="FF000000"/>
        <rFont val="Arial"/>
      </rPr>
      <t xml:space="preserve">The study examines whether the rubber hand illusion (RHI)—a multisensory body ownership illusion—can modulate pain perception. Prior findings on whether the RHI reduces or enhances pain have been inconsistent. The authors tested specifically whether the RHI influences heat pain thresholds and whether its effect is comparable to simply seeing one’s own hand.
</t>
    </r>
    <r>
      <rPr>
        <b/>
        <sz val="10"/>
        <color rgb="FF000000"/>
        <rFont val="Arial"/>
      </rPr>
      <t xml:space="preserve">What they have done:
</t>
    </r>
    <r>
      <rPr>
        <sz val="10"/>
        <color rgb="FF000000"/>
        <rFont val="Arial"/>
      </rPr>
      <t xml:space="preserve">They tested 29 healthy participants to see if pain thresholds and subjective pain ratings would differ between three conditions:
RHI induction (synchronous stroking of hidden hand and visible rubber hand),
Asynchronous stroking (control with weak/no illusion),
Own-hand viewing (participants directly looked at their own hand).
</t>
    </r>
    <r>
      <rPr>
        <b/>
        <sz val="10"/>
        <color rgb="FF000000"/>
        <rFont val="Arial"/>
      </rPr>
      <t xml:space="preserve">How they have done it:
</t>
    </r>
    <r>
      <rPr>
        <sz val="10"/>
        <color rgb="FF000000"/>
        <rFont val="Arial"/>
      </rPr>
      <t xml:space="preserve">Participants placed a finger on a heat probe that gradually increased in temperature until pain was first perceived (pain threshold).
Each participant experienced all three conditions in randomized order.
Questionnaires and proprioceptive drift measures confirmed whether the illusion was successfully induced.
Subjective pain ratings (using a visual analogue scale) were also collected.
</t>
    </r>
    <r>
      <rPr>
        <b/>
        <sz val="10"/>
        <color rgb="FF000000"/>
        <rFont val="Arial"/>
      </rPr>
      <t xml:space="preserve">Key results:
</t>
    </r>
    <r>
      <rPr>
        <sz val="10"/>
        <color rgb="FF000000"/>
        <rFont val="Arial"/>
      </rPr>
      <t xml:space="preserve">Both the RHI (synchronous stroking) and viewing one’s own hand significantly increased heat pain thresholds compared with asynchronous stroking.
There was no difference between RHI and own-hand conditions, suggesting their analgesic effects are similar.
Subjective pain ratings did not differ significantly between conditions.
</t>
    </r>
    <r>
      <rPr>
        <b/>
        <sz val="10"/>
        <color rgb="FF000000"/>
        <rFont val="Arial"/>
      </rPr>
      <t xml:space="preserve">Take-home message:
</t>
    </r>
    <r>
      <rPr>
        <sz val="10"/>
        <color rgb="FF000000"/>
        <rFont val="Arial"/>
      </rPr>
      <t>The RHI can raise pain thresholds, producing an analgesic effect that is comparable to simply seeing one’s own hand. This supports the idea that manipulating body representation can influence acute pain perception. Clinically, while viewing one’s own body may be the simpler method for pain modulation, inducing body illusions like the RHI may provide alternative non-pharmacological strategies for pain relief in specific contexts.</t>
    </r>
  </si>
  <si>
    <t>Pain threshold - subjective - own-hand vs async</t>
  </si>
  <si>
    <t>47,99</t>
  </si>
  <si>
    <t>2,46</t>
  </si>
  <si>
    <t>Pain threshold - subjective - own-hand vs sync</t>
  </si>
  <si>
    <t>from 41 degree to the first stimulus rated as highly painful (VAS &gt; 50mm).</t>
  </si>
  <si>
    <t>Pain intensity - subjective - sync vs async</t>
  </si>
  <si>
    <t>0 = no pain - 100 = maximum pain</t>
  </si>
  <si>
    <t>The higher the more painful</t>
  </si>
  <si>
    <t>35,74</t>
  </si>
  <si>
    <t>22,07</t>
  </si>
  <si>
    <t>36,12</t>
  </si>
  <si>
    <t>&gt;0,9</t>
  </si>
  <si>
    <t>Pain intensity - subjective - own-hand vs async</t>
  </si>
  <si>
    <t>37,21</t>
  </si>
  <si>
    <t>28,55</t>
  </si>
  <si>
    <t>22,36</t>
  </si>
  <si>
    <t>Pain intensity - subjective - own-hand vs sync</t>
  </si>
  <si>
    <t>Real Bodies Not Required? Placebo Analgesia and Pain Perception in Immersive Virtual and Augmented Reality</t>
  </si>
  <si>
    <t>19 - 62</t>
  </si>
  <si>
    <t>Virtual reality or Augmented reality</t>
  </si>
  <si>
    <t>Thermal</t>
  </si>
  <si>
    <t>Start at 32C and increase at a speed of 1C/s.</t>
  </si>
  <si>
    <t>Stop as soon as participant perceive the stimulation to change from "very hot" to "painful"</t>
  </si>
  <si>
    <t>Pain threshold - subjective - pre_intervention - Virtual Reality vs Augmented Reality vs Physical Reality</t>
  </si>
  <si>
    <t>Task, press on the keyboard when the stimulation change from "very hot" to "painful"</t>
  </si>
  <si>
    <t>The higher the temperature, the higher the pain threshold</t>
  </si>
  <si>
    <t>2, 382</t>
  </si>
  <si>
    <t>The paper "Real Bodies Not Required? Placebo Analgesia and Pain Perception in Immersive Virtual and Augmented Reality" investigates whether a placebo can be effective even when administered to a virtual body within an immersive virtual reality (VR) or augmented reality (AR) setting.
 What they did
 The researchers conducted an experiment with 48 healthy participants. The participants were divided into two groups: an analgesia-expectation group and a control-expectation group. The study used a heat pain paradigm to measure pain perception and placebo effects across three settings:
 Physical reality (PR): Participants wore a physical, sham heat-protective glove.
 Augmented reality (AR): Participants saw a virtual heat-protective glove on their real hand.
 Virtual reality (VR): Participants saw a virtual heat-protective glove on a virtual hand that replaced their own.
 The researchers measured subjective and objective pain levels both before and after the intervention.
 How they did it
 The study used a mixed design to compare the different settings and groups. In the analgesia-expectation group, participants were led to believe that a "heat-protective glove" (a placebo) would reduce their pain. This was done using a credible story about a new glove made of nanotechnology. The control-expectation group went through the same procedure but were not given any expectation of pain relief. The order of the settings was counterbalanced to control for any effects from the order of the experiments.
 Take-home message
 The study's findings demonstrate that a virtual placebo can produce pain relief comparable to a physical placebo. The analgesic effect was significant in the analgesia-expectation group regardless of whether the placebo was physical, or a virtual glove on a real hand or a virtual hand. This suggests that the administration of a placebo does not require physical bodily interaction to produce an analgesic response and that the benefits of placebos can extend to virtual environments. This could be a significant step toward developing new non-pharmacological methods for pain management.</t>
  </si>
  <si>
    <t>pre-calibrated temperature starting at 32C and raising at a speed of 10C/s</t>
  </si>
  <si>
    <t>3 seconds</t>
  </si>
  <si>
    <t>Pain intensity - subjective - pre_intervention - Virtual Reality vs Augmented Reality vs Physical Reality</t>
  </si>
  <si>
    <t>values hidden to participant. From "not painful" to "very painful"</t>
  </si>
  <si>
    <t>The higher on the scale, the more painful</t>
  </si>
  <si>
    <t>&lt;0,05</t>
  </si>
  <si>
    <t>Pain unplesantness - subjective - pre_intervention - Virtual Reality vs Augmented Reality vs Physical Reality</t>
  </si>
  <si>
    <t>values hidden to participant. From "not unplesant" to "very unplesant"</t>
  </si>
  <si>
    <t>The higher on the scale, the more unplesant</t>
  </si>
  <si>
    <t>2, 670</t>
  </si>
  <si>
    <t>Viewing a needle pricking a hand that you perceive as yours enhances unpleasantness of pain</t>
  </si>
  <si>
    <t>26,8(3,4)</t>
  </si>
  <si>
    <t>imposed on a video</t>
  </si>
  <si>
    <t>0,36(0,10) mA</t>
  </si>
  <si>
    <t>16ms</t>
  </si>
  <si>
    <t>Pain intensity - subjective - visual stimulation (main effect)</t>
  </si>
  <si>
    <t>0 = no sensation; 40 = beginning of pain experience; 100 = most intense pain</t>
  </si>
  <si>
    <t>1, 24</t>
  </si>
  <si>
    <t>The paper "Viewing a needle pricking a hand that you perceive as yours enhances unpleasantness of pain" investigates the relationship between visual perception, body ownership, and pain perception. The study examines the common advice "Don't look and it won't hurt" to see if observing a painful stimulus actually changes how we feel pain.
 What they did
 The researchers conducted an experiment with 19 healthy participants to determine if observing a needle pricking a hand would enhance the unpleasantness of pain. They used both laser-evoked potentials (LEPs), which are brain responses to a painful laser stimulus, and pupil dilation, a measure of autonomic nervous system arousal, to objectively measure pain. Participants also reported their subjective ratings of pain intensity and unpleasantness.
 How they did it
 The study used a rubber hand illusion (RHI) paradigm to manipulate the participants' sense of body ownership. Participants watched a video of a hand being pricked by a needle while their own hand was simultaneously pricked by a laser. The researchers created four conditions:
 Synchronous visual-tactile stimulation: The participant's own hand was pricked by a laser at the same time as a hand they perceived as their own (using the RHI) was pricked by a needle in the video.
 Asynchronous visual-tactile stimulation: The participant's hand was pricked by a laser, but the visual stimulation of the hand in the video was not synchronized with it.
 Real hand: The participant saw their own real hand being pricked by the needle in the video.
 No-hand: A control condition where participants were only pricked by the laser without any visual hand stimuli.
 Take-home message
 The study's findings confirm the common wisdom that seeing a painful stimulus enhances the unpleasantness of pain. The results showed that when participants viewed a hand they felt was their own being pricked, the unpleasantness of the laser pain was significantly enhanced. This effect was strongest when the visual and tactile sensations were synchronous. This suggests that the brain integrates visual information with bodily sensations to modulate our pain experience, and the sense of body ownership plays a crucial role in this process.</t>
  </si>
  <si>
    <t>Pain unplesantness - subjective - visual stimulation (main effect)</t>
  </si>
  <si>
    <t>0 = not unplesant; 100 = extremely unplesant</t>
  </si>
  <si>
    <t>The higher the more unplesant</t>
  </si>
  <si>
    <t>Feeling numb: Temperature, but not thermal pain, modulates feeling of body ownership</t>
  </si>
  <si>
    <t>23,9</t>
  </si>
  <si>
    <t>77,7</t>
  </si>
  <si>
    <t>stroke in different temperature settings</t>
  </si>
  <si>
    <t>Thermal change</t>
  </si>
  <si>
    <t>Painfully cold - cold - neutral - hot - painfully hot. First pain threshold has been determined with a VAS from "no pain at all" to "worst pain imaginable".</t>
  </si>
  <si>
    <t>Proprioceptive localization error - subjective - cool vs painfully cold</t>
  </si>
  <si>
    <t>perceptual judgment about the spatial location of their right index finger</t>
  </si>
  <si>
    <t>The difference between the indicated and veridical location of the participant’s right index finger was taken as a measure of perceptual relocation</t>
  </si>
  <si>
    <t>The more far away the location, the stronger the RHI effect</t>
  </si>
  <si>
    <t>5,96</t>
  </si>
  <si>
    <t>0,88</t>
  </si>
  <si>
    <t>3,7</t>
  </si>
  <si>
    <t>0,79</t>
  </si>
  <si>
    <r>
      <rPr>
        <sz val="10"/>
        <color rgb="FF000000"/>
        <rFont val="Arial"/>
      </rPr>
      <t xml:space="preserve">The paper "Feeling numb: Temperature, but not thermal pain, modulates feeling of body ownership" explores the relationship between a person's sense of body ownership, pain, and body temperature. The authors investigated whether they could influence the 
Rubber Hand Illusion (RHI) by manipulating the temperature of a participant's hand.
</t>
    </r>
    <r>
      <rPr>
        <b/>
        <sz val="10"/>
        <color rgb="FF000000"/>
        <rFont val="Arial"/>
      </rPr>
      <t xml:space="preserve">What they did
</t>
    </r>
    <r>
      <rPr>
        <sz val="10"/>
        <color rgb="FF000000"/>
        <rFont val="Arial"/>
      </rPr>
      <t xml:space="preserve">The researchers used a thermoelectric metal plate to apply different temperatures to the right hand of healthy participants. They measured the strength of the RHI in three ways: by measuring the perceptual relocation of the participant's real hand toward the rubber hand , by using a questionnaire to assess the subjective feeling of body ownership , and by measuring physical changes in the temperature of the hand.
</t>
    </r>
    <r>
      <rPr>
        <b/>
        <sz val="10"/>
        <color rgb="FF000000"/>
        <rFont val="Arial"/>
      </rPr>
      <t xml:space="preserve">How they did it
</t>
    </r>
    <r>
      <rPr>
        <sz val="10"/>
        <color rgb="FF000000"/>
        <rFont val="Arial"/>
      </rPr>
      <t xml:space="preserve">The study employed a factorial design with five temperature conditions—painfully cold, cool, neutral, warm, and painfully hot—combined with two RHI stroking conditions (synchronous and asynchronous). The illusion was induced by synchronously stroking the participant's hidden hand and a visible rubber hand.
</t>
    </r>
    <r>
      <rPr>
        <b/>
        <sz val="10"/>
        <color rgb="FF000000"/>
        <rFont val="Arial"/>
      </rPr>
      <t xml:space="preserve">Take-home message
</t>
    </r>
    <r>
      <rPr>
        <sz val="10"/>
        <color rgb="FF000000"/>
        <rFont val="Arial"/>
      </rPr>
      <t>The study found that cooling down a participant's hand increased the strength of the RHI, while warming it decreased the strength of the illusion. Interestingly, the painful extremes of temperature, both hot and cold, did not modulate the RHI. The paper concludes that 
thermosensation (the sense of temperature) is an important driver of body ownership, but that pain seems to bypass these mechanisms.</t>
    </r>
  </si>
  <si>
    <t>Proprioceptive localization error - subjective - cool vs neutral</t>
  </si>
  <si>
    <t>4,89</t>
  </si>
  <si>
    <t>0,96</t>
  </si>
  <si>
    <t>Proprioceptive localization error - subjective - warm vs painfully hot</t>
  </si>
  <si>
    <t>2,63</t>
  </si>
  <si>
    <t>5,48</t>
  </si>
  <si>
    <t>0,94</t>
  </si>
  <si>
    <t>3,27</t>
  </si>
  <si>
    <t>Proprioceptive localization error - subjective - warm vs neutral</t>
  </si>
  <si>
    <t>Evaluation of a New Mobile Virtual Reality Setup to Alter Pain Perception: Pilot Development and Usability Study in Healthy Participants</t>
  </si>
  <si>
    <t>22 to 29</t>
  </si>
  <si>
    <t>combination of heartbeat and flashing light</t>
  </si>
  <si>
    <t>Pressure</t>
  </si>
  <si>
    <t>10 N at an extension of 5 mm</t>
  </si>
  <si>
    <t>Pain sensitivity - subjective - algopeg finger condition - synchronous vs asynchronous</t>
  </si>
  <si>
    <t>Numerical Rating Scale</t>
  </si>
  <si>
    <t>0 stands for “no pain” and 10 stands for “the most intense pain imaginable"</t>
  </si>
  <si>
    <t>The higher the score, the higher the pain</t>
  </si>
  <si>
    <t>0,29</t>
  </si>
  <si>
    <t>-0,08</t>
  </si>
  <si>
    <t>0,22</t>
  </si>
  <si>
    <t>0,24</t>
  </si>
  <si>
    <t>Summary
This paper reports on the development and pilot testing of a new mobile virtual reality (VR) setup designed to influence pain perception. The system uses a smartphone-based head-mounted display (HMD) and a smartwatch with photoplethysmography (PPG) to present participants with a virtual avatar whose silhouette flashes in sync with their heartbeat—a technique known as the cardiovisual full-body illusion.
What they did
Recruited 20 healthy participants. Compared synchronous vs. asynchronous cardiovisual stimulation across four VR sessions. Measured usability, cybersickness, algorithm accuracy, body ownership, and pain perception (using Algopeg and Somedic algometers).
How they did it
Used a randomized within-subject design: each participant experienced both synchronous and asynchronous conditions. Validated the smartwatch-based heartbeat detection against an electrocardiogram (ECG).
Collected self-report data (System Usability Scale, Simulator Sickness Questionnaire, ownership questionnaire) and pain sensitivity metrics.
What they found
The VR system showed high usability, minimal side effects, and accurate heart rate detection.
However, no significant effects of synchronous stimulation on body ownership or pain perception were found compared to asynchronous stimulation.
Take-home message
The new VR setup is feasible, usable, and well-tolerated, but it did not alter pain perception or body ownership in healthy participants. Future work should refine the realism and perspective of the VR experience and test the system in clinical populations with chronic pain, where greater effects may be observed</t>
  </si>
  <si>
    <t>Pain sensitivity - subjective - algopeg ear lobe condition - synchronous vs asynchronous</t>
  </si>
  <si>
    <t>0,13</t>
  </si>
  <si>
    <t>0,74</t>
  </si>
  <si>
    <t>-0,01</t>
  </si>
  <si>
    <t>0,46</t>
  </si>
  <si>
    <t>0,25</t>
  </si>
  <si>
    <t>Pain threshold - subjective - somedic finger condition - synchronous vs asynchronous</t>
  </si>
  <si>
    <t>Button pressure</t>
  </si>
  <si>
    <t>The higher the algometer pressure, the higher the threshold</t>
  </si>
  <si>
    <t>No Pain Relief with the Rubber Hand Illusion</t>
  </si>
  <si>
    <t>Heat probe</t>
  </si>
  <si>
    <t>Each subject was calibrated for subjective pain ratings by
Receiving a series of thermal stimuli with the temperatures 47C, 48C, 49C, and given five times each in a randomized order</t>
  </si>
  <si>
    <t>Pain intensity - subjective - experiment 1 - synchronous vs asynchronous</t>
  </si>
  <si>
    <t>100mm from "no pain" to "worst imaginable pain"</t>
  </si>
  <si>
    <t>ANOVA 2x2 (interaction)</t>
  </si>
  <si>
    <t>What the paper is about
The study investigates whether the rubber hand illusion—a classic body ownership illusion—can provide pain relief. Previous findings suggested bodily illusions might influence sensory processing, sparking interest in their potential clinical use for analgesia.
What they have done
Two independent laboratories ran randomized, repeated-measures experiments in healthy participants:
Experiment 1 (n=16): Tested pain ratings in response to noxious heat stimuli (47–49 °C) during the rubber hand illusion versus a control condition.
Experiment 2 (n=20): Used quantitative sensory testing to measure heat and cold pain thresholds, detection thresholds, and paradoxical heat sensations during illusion vs. control.
How they have done it
The illusion was induced by synchronous stroking of a visible rubber hand and the participant’s hidden real hand. Control conditions used asynchronous stroking. Participants then received standardized heat/cold stimuli and reported pain or detection thresholds.
What they found
The illusion was successfully induced (participants felt ownership of the rubber hand).
Pain ratings and thresholds changed with stimulus intensity but not with illusion vs. control.
No analgesic effects were detected in either experiment.
Take-home message
The rubber hand illusion can shift the perceived ownership of the body but does not relieve experimentally induced pain in healthy participants. This suggests it has limited therapeutic value for nociceptive pain, though other types of body illusions (e.g., full-body illusions) may hold more promise for clinical applications</t>
  </si>
  <si>
    <t>The following QST components were tested: thermal detection thresholds for perception of cold (CDT), warm (WDT) and thermal sensory limen (TSL), thermal pain thresholds for cold (CPT) and hot (HPT) stimuli</t>
  </si>
  <si>
    <t>Pain threshold - subjective - experiment 2 - CDT - synch vs asynch</t>
  </si>
  <si>
    <t>Quantitative Sensory Testing (QST) protocol - button pressure</t>
  </si>
  <si>
    <t>0C to 50C</t>
  </si>
  <si>
    <t>The higher or lower the pressure of button, the higher the pain threshold</t>
  </si>
  <si>
    <t>-0,07</t>
  </si>
  <si>
    <t>1,05</t>
  </si>
  <si>
    <t>0,76</t>
  </si>
  <si>
    <t>La media riportata è la differenza tra controllo e condiizone</t>
  </si>
  <si>
    <t>Pain threshold - subjective - experiment 2 - WDT - synch vs asynch</t>
  </si>
  <si>
    <t>-0,1</t>
  </si>
  <si>
    <t>1,51</t>
  </si>
  <si>
    <t>-0,3</t>
  </si>
  <si>
    <t>Pain threshold - subjective - experiment 2 - TSL - synch vs asynch</t>
  </si>
  <si>
    <t>-0,22</t>
  </si>
  <si>
    <t>1,65</t>
  </si>
  <si>
    <t>-0,59</t>
  </si>
  <si>
    <t>Pain threshold - subjective - experiment 2 - CPT - synch vs asynch</t>
  </si>
  <si>
    <t>-0,74</t>
  </si>
  <si>
    <t>7,14</t>
  </si>
  <si>
    <t>-0,46</t>
  </si>
  <si>
    <t>0,64</t>
  </si>
  <si>
    <t>Pain threshold - subjective - experiment 2 - HPT - synch vs asynch</t>
  </si>
  <si>
    <t>-0,95</t>
  </si>
  <si>
    <t>-1,43</t>
  </si>
  <si>
    <t>0,16</t>
  </si>
  <si>
    <t>Time course of the rubber hand illusion–induced analgesia</t>
  </si>
  <si>
    <t>24,03 (7,34)</t>
  </si>
  <si>
    <t>light</t>
  </si>
  <si>
    <t>Heat thermode</t>
  </si>
  <si>
    <t>In the experiment, 4 different target temperatures were used for RHI trials: individual nonpainful (-0.75°C) and different painful levels (0°C, +0.75°C, and +1.5°C).</t>
  </si>
  <si>
    <t>Pain intensity - subjective - normal vs inverted (main effect)</t>
  </si>
  <si>
    <t>100mm from "no sensation" to "strongest pain"</t>
  </si>
  <si>
    <t>The higher, the stronger the pain</t>
  </si>
  <si>
    <t>ANOVA</t>
  </si>
  <si>
    <t>1, 503</t>
  </si>
  <si>
    <t>Pain unplesantness - subjective - normal vs inverted (main effect)</t>
  </si>
  <si>
    <t>100mm, from very unplesant (left) to very pleasant (right)</t>
  </si>
  <si>
    <t>The more to the left the cursor, the more unplesant</t>
  </si>
  <si>
    <t>Continous pain ratings over time - subjective - normal vs inverted (main effect)</t>
  </si>
  <si>
    <t>1, 1120305</t>
  </si>
  <si>
    <t>Seeing an Embodied Virtual Hand is Analgesic Contingent on Colocation</t>
  </si>
  <si>
    <t>24,1 (5,1)</t>
  </si>
  <si>
    <t>vibration</t>
  </si>
  <si>
    <t>32C increase at 2C/s</t>
  </si>
  <si>
    <t>Until participant does not feel pain</t>
  </si>
  <si>
    <t>Pain threshold - subjective - colocation vs 30cm away</t>
  </si>
  <si>
    <t>Participant instructed to press button when painful</t>
  </si>
  <si>
    <t>The lower the temperature, the lower the pain treshold</t>
  </si>
  <si>
    <t>mixed effects analysis of variance</t>
  </si>
  <si>
    <t>-2,24</t>
  </si>
  <si>
    <t>What the paper is about
This study examines whether seeing a virtual hand that is embodied (i.e., experienced as one’s own) can reduce pain perception, and whether the analgesic effect depends on the hand’s spatial location relative to the real hand.
What they have done
Participants were immersed in virtual reality and saw a virtual hand that either overlapped with their real hand (colocation) or was displaced to another location (non-colocation). Pain was induced using laser stimuli, and participants rated its intensity.
How they have done it
Used immersive VR to present synchronous visuomotor feedback (so participants felt ownership of the virtual hand).
Delivered brief laser pain stimuli to the real hand.
Compared pain ratings between colocation vs. non-colocation conditions.
What they found
Pain ratings were significantly lower when the embodied virtual hand was colocated with the real hand.
No analgesic effect was observed when the virtual hand was displaced.
Take-home message
Viewing and embodying a virtual hand can reduce pain, but this effect is contingent on the virtual hand being colocated with the real hand. This highlights the importance of spatial congruence in VR-based analgesic interventions .</t>
  </si>
  <si>
    <t>Negative Body Image Associated with Changes in the Visual Body Appearance Increases Pain Perception</t>
  </si>
  <si>
    <t>21,61(4,5)</t>
  </si>
  <si>
    <t>32C increase at 1C/s</t>
  </si>
  <si>
    <t>Pain threshold - subjective - illusion - normal vs injured</t>
  </si>
  <si>
    <t>43,11</t>
  </si>
  <si>
    <t>0,32</t>
  </si>
  <si>
    <t>42,01</t>
  </si>
  <si>
    <t>Pain threshold - subjective - illusion - hairy vs injured</t>
  </si>
  <si>
    <t>43,08</t>
  </si>
  <si>
    <t>0,28</t>
  </si>
  <si>
    <t>Pain threshold - subjective - illusion - distorted vs injured</t>
  </si>
  <si>
    <t>42,92</t>
  </si>
  <si>
    <t>0,33</t>
  </si>
  <si>
    <t>Pain threshold - subjective - injured - illusion vs no illusion</t>
  </si>
  <si>
    <t>43,43</t>
  </si>
  <si>
    <t>Neuro-cognitive effects of degraded visibility on illusory body ownership</t>
  </si>
  <si>
    <t>26,9(4,5)</t>
  </si>
  <si>
    <t>57,7</t>
  </si>
  <si>
    <t>Syringe</t>
  </si>
  <si>
    <t>Video of hand being pricked</t>
  </si>
  <si>
    <t>8,96 seconds</t>
  </si>
  <si>
    <t>Skin conductance - illusion - sync vs async</t>
  </si>
  <si>
    <t>Skin conductance</t>
  </si>
  <si>
    <t>galvanic skin response device</t>
  </si>
  <si>
    <t>Skin conductance - no illusion - sync vs async</t>
  </si>
  <si>
    <t>-0,14</t>
  </si>
  <si>
    <t>Pain and somatic sensation are transiently normalized by illusory body ownership in a patient with spinal cord injury</t>
  </si>
  <si>
    <t>Brush</t>
  </si>
  <si>
    <t>30 seconds</t>
  </si>
  <si>
    <t>Pain intensity - subjective - thumb - sync vs async</t>
  </si>
  <si>
    <t>100mm, from 0 (absent/no unplesanteness) to 100 (perfectly normal/most unplesant)</t>
  </si>
  <si>
    <t>The higher, the more painful</t>
  </si>
  <si>
    <t>89,75</t>
  </si>
  <si>
    <t>96,25</t>
  </si>
  <si>
    <t>2,5</t>
  </si>
  <si>
    <t>case report</t>
  </si>
  <si>
    <t>Pain intensity - subjective - index - sync vs async</t>
  </si>
  <si>
    <t>77,5</t>
  </si>
  <si>
    <t>Pain unplesantness - subjective - thumb - sync vs async</t>
  </si>
  <si>
    <t>Pain unplesantness - subjective - index - sync vs async</t>
  </si>
  <si>
    <t>Correlations between within-subject variability of pain intensity reports and rubber hand illusion proprioceptive drift</t>
  </si>
  <si>
    <t>“Pulling telescoped phantoms out of the stump”:Manipulating the perceived position of phantom limbs using a full-body illusion</t>
  </si>
  <si>
    <t>Phantom pain</t>
  </si>
  <si>
    <t>Amputee limb</t>
  </si>
  <si>
    <t>NRS</t>
  </si>
  <si>
    <t>10 point, 0 to 10</t>
  </si>
  <si>
    <t>2,75</t>
  </si>
  <si>
    <t>3,62</t>
  </si>
  <si>
    <t>Pain intensity - subjective - telescope vs no-telescope</t>
  </si>
  <si>
    <t>1,41</t>
  </si>
  <si>
    <t>The Empathy Quotient (EQ) predicts perceived strength of bodily illusions and illusion-related sensations of pain</t>
  </si>
  <si>
    <t>57,5</t>
  </si>
  <si>
    <t>Visual, not directly experienced</t>
  </si>
  <si>
    <t>Syringe, fire, knife</t>
  </si>
  <si>
    <t>Pain intensity - subjective - correlation with RHI score</t>
  </si>
  <si>
    <t>McGill pain questionnaire</t>
  </si>
  <si>
    <t>R of Pearson</t>
  </si>
  <si>
    <t>0,61</t>
  </si>
  <si>
    <t>Pain intensity - subjective - correlation with proprioceptive drift</t>
  </si>
  <si>
    <t>Rubber Hand Illusion Reduces Discomfort Caused by Cold Stimulus</t>
  </si>
  <si>
    <t>22,55 (1,35)</t>
  </si>
  <si>
    <t>Ice</t>
  </si>
  <si>
    <t>up to 120 seconds</t>
  </si>
  <si>
    <t>Cold resistance - subjective - sync vs async</t>
  </si>
  <si>
    <t>Time</t>
  </si>
  <si>
    <t>0 to 120 seconds</t>
  </si>
  <si>
    <t>The more time the participant resist under ice compress, the higher is its cold resistance</t>
  </si>
  <si>
    <t>30,33</t>
  </si>
  <si>
    <t>32,6</t>
  </si>
  <si>
    <t>t</t>
  </si>
  <si>
    <t>0,02</t>
  </si>
  <si>
    <t>Pain unplesantness - subjective - sync vs async</t>
  </si>
  <si>
    <t>5 point scale</t>
  </si>
  <si>
    <t>from 1(pleasant) to 5 (unplesant)</t>
  </si>
  <si>
    <t>0,97</t>
  </si>
  <si>
    <t>3,74</t>
  </si>
  <si>
    <t>0,99</t>
  </si>
  <si>
    <t>-3,15</t>
  </si>
  <si>
    <t>Rubber Hand Illusion Increases Pain Caused by Electric Stimuli</t>
  </si>
  <si>
    <t>21,52 (1,34)</t>
  </si>
  <si>
    <t>highest strength of stimuli that was still tolerable for each participant</t>
  </si>
  <si>
    <t>200 microseconds</t>
  </si>
  <si>
    <t>Pain intensity and discomfort - subjective</t>
  </si>
  <si>
    <t>11 point scale</t>
  </si>
  <si>
    <t>from 0 (no pain) to 10 (worst imaginable pain)</t>
  </si>
  <si>
    <t>6,21</t>
  </si>
  <si>
    <t>1,37</t>
  </si>
  <si>
    <t>5,57</t>
  </si>
  <si>
    <t>1,29</t>
  </si>
  <si>
    <t>Electric stimulation was applied either in the control and experimental condition. The two conditions were different because of the application of RHI (synchronous or asynchronous touch). The results showed that noxious stimuli were experienced as more
painful on the hand under the illusion. In addition, in the experimental condition the perceived location of noxious stimulation applied to the experimental hand drifted toward the rubber hand.</t>
  </si>
  <si>
    <t>Verbal Suggestion Modulates the
Sense of Ownership and Heat Pain
Threshold During the “Injured”
Rubber Hand Illusion</t>
  </si>
  <si>
    <t>26,8 (5,5)</t>
  </si>
  <si>
    <t>thermal probe attached to
the dorsal side of the left distal forearm</t>
  </si>
  <si>
    <t>Until participant does feel pain</t>
  </si>
  <si>
    <t>heat pain threshold and unpleasentness towards the rubber hand - subjective</t>
  </si>
  <si>
    <t>1,33</t>
  </si>
  <si>
    <t>0,27</t>
  </si>
  <si>
    <t>27,5 (4,4)</t>
  </si>
  <si>
    <t>26 (4,5)</t>
  </si>
  <si>
    <t>2,32</t>
  </si>
  <si>
    <t>0,14</t>
  </si>
  <si>
    <t>Here the difference is between fear v. no-fear</t>
  </si>
  <si>
    <t>Individualized Augmented Reality Training Reduces
Phantom Pain and Cortical Reorganization in
Amputees: A Proof of Concept Study</t>
  </si>
  <si>
    <t>training of 4 weeks</t>
  </si>
  <si>
    <t>interesting for discussion</t>
  </si>
  <si>
    <t>The Role of Body Awareness
in Pain</t>
  </si>
  <si>
    <t>28,3 (2,6)</t>
  </si>
  <si>
    <t>thermal stimulus applied to the dorsum of the real hand.</t>
  </si>
  <si>
    <t>The thermal stimulus was one of the following six temperatures: 38°C, 40°C, 42°C, 44°C, 46°C, 48°C.</t>
  </si>
  <si>
    <t>Pain intensity and warmth - subjective</t>
  </si>
  <si>
    <t>0,34</t>
  </si>
  <si>
    <t>the reported value is the difference between synch and non-stroking condition</t>
  </si>
  <si>
    <t>Vicarious pain while observing another in pain: an
experimental approach</t>
  </si>
  <si>
    <t>19,17 (1,81)</t>
  </si>
  <si>
    <t>experiment 2</t>
  </si>
  <si>
    <t>Feeling pain from a rubber hand: Nociceptive drift in
the rubber hand illusion</t>
  </si>
  <si>
    <t>eliminato perché single case</t>
  </si>
  <si>
    <t>VAR_hedges</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</si>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</sst>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m\,\ d"/>
    <numFmt numFmtId="166" formatCode="h\.mm"/>
    <numFmt numFmtId="167" formatCode="0.0"/>
    <numFmt numFmtId="168" formatCode="#,##0.000"/>
  </numFmts>
  <fonts count="8" x14ac:knownFonts="1">
    <font>
      <sz val="10"/>
      <color rgb="FF000000"/>
      <name val="Arial"/>
      <scheme val="minor"/>
    </font>
    <font>
      <sz val="10"/>
      <color theme="1"/>
      <name val="Arial"/>
      <scheme val="minor"/>
    </font>
    <font>
      <sz val="10"/>
      <color theme="1"/>
      <name val="Microsoft YaHei"/>
    </font>
    <font>
      <sz val="10"/>
      <color rgb="FF000000"/>
      <name val="Arial"/>
    </font>
    <font>
      <sz val="10"/>
      <color theme="1"/>
      <name val="Arial"/>
    </font>
    <font>
      <b/>
      <sz val="10"/>
      <color rgb="FF000000"/>
      <name val="Arial"/>
    </font>
    <font>
      <b/>
      <sz val="10"/>
      <color theme="1"/>
      <name val="Arial"/>
    </font>
    <font>
      <sz val="10"/>
      <color rgb="FF000000"/>
      <name val="Arial"/>
      <family val="2"/>
      <scheme val="minor"/>
    </font>
  </fonts>
  <fills count="5">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s>
  <borders count="1">
    <border>
      <left/>
      <right/>
      <top/>
      <bottom/>
      <diagonal/>
    </border>
  </borders>
  <cellStyleXfs count="1">
    <xf numFmtId="0" fontId="0" fillId="0" borderId="0"/>
  </cellStyleXfs>
  <cellXfs count="51">
    <xf numFmtId="0" fontId="0" fillId="0" borderId="0" xfId="0"/>
    <xf numFmtId="0" fontId="1" fillId="0" borderId="0" xfId="0" applyFont="1" applyAlignment="1">
      <alignment horizontal="left" wrapText="1"/>
    </xf>
    <xf numFmtId="0" fontId="2" fillId="0" borderId="0" xfId="0" applyFont="1" applyAlignment="1">
      <alignment horizontal="left" wrapText="1"/>
    </xf>
    <xf numFmtId="164" fontId="1" fillId="0" borderId="0" xfId="0" applyNumberFormat="1" applyFont="1" applyAlignment="1">
      <alignment horizontal="left" wrapText="1"/>
    </xf>
    <xf numFmtId="0" fontId="1" fillId="0" borderId="0" xfId="0" applyFont="1" applyAlignment="1">
      <alignment horizontal="center" wrapText="1"/>
    </xf>
    <xf numFmtId="0" fontId="1" fillId="0" borderId="0" xfId="0" applyFont="1" applyAlignment="1">
      <alignment wrapText="1"/>
    </xf>
    <xf numFmtId="0" fontId="1" fillId="0" borderId="0" xfId="0" applyFont="1" applyAlignment="1">
      <alignment horizontal="right" wrapText="1"/>
    </xf>
    <xf numFmtId="164" fontId="1" fillId="0" borderId="0" xfId="0" applyNumberFormat="1" applyFont="1" applyAlignment="1">
      <alignment horizontal="right" wrapText="1"/>
    </xf>
    <xf numFmtId="164" fontId="1" fillId="0" borderId="0" xfId="0" applyNumberFormat="1" applyFont="1" applyAlignment="1">
      <alignment wrapText="1"/>
    </xf>
    <xf numFmtId="0" fontId="1" fillId="2" borderId="0" xfId="0" applyFont="1" applyFill="1" applyAlignment="1">
      <alignment wrapText="1"/>
    </xf>
    <xf numFmtId="3" fontId="1" fillId="0" borderId="0" xfId="0" applyNumberFormat="1" applyFont="1" applyAlignment="1">
      <alignment wrapText="1"/>
    </xf>
    <xf numFmtId="165" fontId="1" fillId="0" borderId="0" xfId="0" applyNumberFormat="1" applyFont="1" applyAlignment="1">
      <alignment wrapText="1"/>
    </xf>
    <xf numFmtId="164" fontId="3" fillId="0" borderId="0" xfId="0" applyNumberFormat="1" applyFont="1" applyAlignment="1">
      <alignment horizontal="right"/>
    </xf>
    <xf numFmtId="164" fontId="3" fillId="0" borderId="0" xfId="0" applyNumberFormat="1" applyFont="1"/>
    <xf numFmtId="0" fontId="3" fillId="0" borderId="0" xfId="0" applyFont="1" applyAlignment="1">
      <alignment horizontal="left" wrapText="1"/>
    </xf>
    <xf numFmtId="166" fontId="3" fillId="0" borderId="0" xfId="0" applyNumberFormat="1" applyFont="1" applyAlignment="1">
      <alignment horizontal="left" wrapText="1"/>
    </xf>
    <xf numFmtId="0" fontId="3" fillId="0" borderId="0" xfId="0" applyFont="1" applyAlignment="1">
      <alignment horizontal="center" wrapText="1"/>
    </xf>
    <xf numFmtId="0" fontId="4" fillId="0" borderId="0" xfId="0" applyFont="1" applyAlignment="1">
      <alignment wrapText="1"/>
    </xf>
    <xf numFmtId="0" fontId="4" fillId="0" borderId="0" xfId="0" applyFont="1"/>
    <xf numFmtId="166" fontId="4" fillId="0" borderId="0" xfId="0" applyNumberFormat="1" applyFont="1" applyAlignment="1">
      <alignment wrapText="1"/>
    </xf>
    <xf numFmtId="164" fontId="3" fillId="0" borderId="0" xfId="0" applyNumberFormat="1" applyFont="1" applyAlignment="1">
      <alignment horizontal="left" wrapText="1"/>
    </xf>
    <xf numFmtId="0" fontId="3" fillId="0" borderId="0" xfId="0" applyFont="1" applyAlignment="1">
      <alignment horizontal="left"/>
    </xf>
    <xf numFmtId="164" fontId="3" fillId="0" borderId="0" xfId="0" applyNumberFormat="1" applyFont="1" applyAlignment="1">
      <alignment horizontal="left"/>
    </xf>
    <xf numFmtId="167" fontId="3" fillId="0" borderId="0" xfId="0" applyNumberFormat="1" applyFont="1" applyAlignment="1">
      <alignment horizontal="left"/>
    </xf>
    <xf numFmtId="1" fontId="3" fillId="0" borderId="0" xfId="0" applyNumberFormat="1" applyFont="1" applyAlignment="1">
      <alignment horizontal="left"/>
    </xf>
    <xf numFmtId="168" fontId="3" fillId="0" borderId="0" xfId="0" applyNumberFormat="1" applyFont="1" applyAlignment="1">
      <alignment horizontal="right"/>
    </xf>
    <xf numFmtId="0" fontId="3" fillId="0" borderId="0" xfId="0" applyFont="1" applyAlignment="1">
      <alignment horizontal="center"/>
    </xf>
    <xf numFmtId="168" fontId="3" fillId="0" borderId="0" xfId="0" applyNumberFormat="1" applyFont="1" applyAlignment="1">
      <alignment horizontal="left"/>
    </xf>
    <xf numFmtId="167" fontId="3" fillId="0" borderId="0" xfId="0" applyNumberFormat="1" applyFont="1" applyAlignment="1">
      <alignment horizontal="left" wrapText="1"/>
    </xf>
    <xf numFmtId="1" fontId="3" fillId="0" borderId="0" xfId="0" applyNumberFormat="1" applyFont="1" applyAlignment="1">
      <alignment horizontal="left" wrapText="1"/>
    </xf>
    <xf numFmtId="168" fontId="3" fillId="0" borderId="0" xfId="0" applyNumberFormat="1" applyFont="1" applyAlignment="1">
      <alignment horizontal="left" wrapText="1"/>
    </xf>
    <xf numFmtId="0" fontId="3" fillId="2" borderId="0" xfId="0" applyFont="1" applyFill="1" applyAlignment="1">
      <alignment horizontal="left" wrapText="1"/>
    </xf>
    <xf numFmtId="168" fontId="3" fillId="0" borderId="0" xfId="0" applyNumberFormat="1" applyFont="1"/>
    <xf numFmtId="0" fontId="1" fillId="3" borderId="0" xfId="0" applyFont="1" applyFill="1" applyAlignment="1">
      <alignment wrapText="1"/>
    </xf>
    <xf numFmtId="0" fontId="1" fillId="3" borderId="0" xfId="0" applyFont="1" applyFill="1" applyAlignment="1">
      <alignment horizontal="center" wrapText="1"/>
    </xf>
    <xf numFmtId="0" fontId="1" fillId="4" borderId="0" xfId="0" applyFont="1" applyFill="1" applyAlignment="1">
      <alignment wrapText="1"/>
    </xf>
    <xf numFmtId="164" fontId="1" fillId="4" borderId="0" xfId="0" applyNumberFormat="1" applyFont="1" applyFill="1" applyAlignment="1">
      <alignment wrapText="1"/>
    </xf>
    <xf numFmtId="0" fontId="1" fillId="4" borderId="0" xfId="0" applyFont="1" applyFill="1" applyAlignment="1">
      <alignment horizontal="center" wrapText="1"/>
    </xf>
    <xf numFmtId="0" fontId="3" fillId="4" borderId="0" xfId="0" applyFont="1" applyFill="1" applyAlignment="1">
      <alignment horizontal="left" wrapText="1"/>
    </xf>
    <xf numFmtId="164" fontId="1" fillId="0" borderId="0" xfId="0" applyNumberFormat="1" applyFont="1"/>
    <xf numFmtId="167" fontId="1" fillId="0" borderId="0" xfId="0" applyNumberFormat="1" applyFont="1"/>
    <xf numFmtId="1" fontId="1" fillId="0" borderId="0" xfId="0" applyNumberFormat="1" applyFont="1"/>
    <xf numFmtId="168" fontId="1" fillId="0" borderId="0" xfId="0" applyNumberFormat="1" applyFont="1"/>
    <xf numFmtId="2" fontId="3" fillId="0" borderId="0" xfId="0" applyNumberFormat="1" applyFont="1" applyAlignment="1">
      <alignment horizontal="left" wrapText="1"/>
    </xf>
    <xf numFmtId="2" fontId="4" fillId="0" borderId="0" xfId="0" applyNumberFormat="1" applyFont="1" applyAlignment="1">
      <alignment wrapText="1"/>
    </xf>
    <xf numFmtId="0" fontId="7" fillId="0" borderId="0" xfId="0" applyFont="1"/>
    <xf numFmtId="2" fontId="1" fillId="0" borderId="0" xfId="0" applyNumberFormat="1" applyFont="1" applyAlignment="1">
      <alignment horizontal="left" wrapText="1"/>
    </xf>
    <xf numFmtId="2" fontId="1" fillId="0" borderId="0" xfId="0" applyNumberFormat="1" applyFont="1" applyAlignment="1">
      <alignment wrapText="1"/>
    </xf>
    <xf numFmtId="2" fontId="4" fillId="0" borderId="0" xfId="0" applyNumberFormat="1" applyFont="1"/>
    <xf numFmtId="2" fontId="1" fillId="0" borderId="0" xfId="0" applyNumberFormat="1" applyFont="1"/>
    <xf numFmtId="2"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N1017"/>
  <sheetViews>
    <sheetView workbookViewId="0">
      <pane xSplit="2" ySplit="1" topLeftCell="AQ112" activePane="bottomRight" state="frozen"/>
      <selection pane="topRight" activeCell="C1" sqref="C1"/>
      <selection pane="bottomLeft" activeCell="A2" sqref="A2"/>
      <selection pane="bottomRight" sqref="A1:BC115"/>
    </sheetView>
  </sheetViews>
  <sheetFormatPr defaultColWidth="12.59765625" defaultRowHeight="15.75" customHeight="1" x14ac:dyDescent="0.35"/>
  <cols>
    <col min="1" max="1" width="2.59765625" customWidth="1"/>
    <col min="2" max="2" width="28.3984375" customWidth="1"/>
    <col min="3" max="3" width="60.59765625" customWidth="1"/>
    <col min="4" max="4" width="7.73046875" customWidth="1"/>
    <col min="5" max="5" width="6.46484375" customWidth="1"/>
    <col min="6" max="6" width="13" customWidth="1"/>
    <col min="7" max="7" width="11.3984375" customWidth="1"/>
    <col min="8" max="8" width="18.59765625" customWidth="1"/>
    <col min="9" max="9" width="22.265625" customWidth="1"/>
    <col min="10" max="10" width="16.46484375" customWidth="1"/>
    <col min="11" max="11" width="33" customWidth="1"/>
    <col min="12" max="12" width="16.86328125" customWidth="1"/>
    <col min="13" max="13" width="20.46484375" customWidth="1"/>
    <col min="14" max="14" width="14.86328125" customWidth="1"/>
    <col min="15" max="15" width="31.3984375" customWidth="1"/>
    <col min="16" max="16" width="25" customWidth="1"/>
    <col min="17" max="17" width="36.46484375" customWidth="1"/>
    <col min="18" max="18" width="19.86328125" customWidth="1"/>
    <col min="19" max="19" width="20.3984375" customWidth="1"/>
    <col min="20" max="20" width="18.3984375" customWidth="1"/>
    <col min="21" max="21" width="81.3984375" customWidth="1"/>
    <col min="22" max="22" width="24.265625" customWidth="1"/>
    <col min="23" max="23" width="14.3984375" customWidth="1"/>
    <col min="24" max="24" width="45.86328125" customWidth="1"/>
    <col min="25" max="25" width="25.46484375" customWidth="1"/>
    <col min="26" max="26" width="23.46484375" customWidth="1"/>
    <col min="27" max="27" width="23.86328125" customWidth="1"/>
    <col min="28" max="28" width="21.86328125" customWidth="1"/>
    <col min="29" max="29" width="50" customWidth="1"/>
    <col min="30" max="30" width="20.86328125" customWidth="1"/>
    <col min="31" max="31" width="8" customWidth="1"/>
    <col min="32" max="32" width="11.265625" customWidth="1"/>
    <col min="33" max="33" width="83.86328125" customWidth="1"/>
    <col min="34" max="34" width="30.46484375" customWidth="1"/>
    <col min="35" max="35" width="11.265625" customWidth="1"/>
    <col min="36" max="36" width="38.3984375" customWidth="1"/>
    <col min="37" max="37" width="16.3984375" customWidth="1"/>
    <col min="38" max="38" width="17.265625" customWidth="1"/>
    <col min="39" max="39" width="24.3984375" customWidth="1"/>
    <col min="40" max="40" width="8.265625" customWidth="1"/>
  </cols>
  <sheetData>
    <row r="1" spans="1:40" ht="20.25" customHeigh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1" t="s">
        <v>21</v>
      </c>
      <c r="W1" s="1" t="s">
        <v>22</v>
      </c>
      <c r="X1" s="1" t="s">
        <v>23</v>
      </c>
      <c r="Y1" s="1" t="s">
        <v>24</v>
      </c>
      <c r="Z1" s="1" t="s">
        <v>25</v>
      </c>
      <c r="AA1" s="1" t="s">
        <v>26</v>
      </c>
      <c r="AB1" s="1" t="s">
        <v>27</v>
      </c>
      <c r="AC1" s="2" t="s">
        <v>28</v>
      </c>
      <c r="AD1" s="3" t="s">
        <v>29</v>
      </c>
      <c r="AE1" s="1" t="s">
        <v>30</v>
      </c>
      <c r="AF1" s="3" t="s">
        <v>31</v>
      </c>
      <c r="AG1" s="4" t="s">
        <v>32</v>
      </c>
      <c r="AH1" s="1" t="s">
        <v>33</v>
      </c>
      <c r="AI1" s="1" t="s">
        <v>34</v>
      </c>
      <c r="AJ1" s="1" t="s">
        <v>35</v>
      </c>
      <c r="AK1" s="1" t="s">
        <v>36</v>
      </c>
      <c r="AL1" s="1"/>
      <c r="AM1" s="1"/>
      <c r="AN1" s="1"/>
    </row>
    <row r="2" spans="1:40" ht="89.25" x14ac:dyDescent="0.35">
      <c r="A2" s="1">
        <v>12</v>
      </c>
      <c r="B2" s="1" t="s">
        <v>37</v>
      </c>
      <c r="C2" s="1"/>
      <c r="D2" s="1"/>
      <c r="E2" s="1"/>
      <c r="F2" s="1"/>
      <c r="G2" s="1"/>
      <c r="H2" s="1"/>
      <c r="I2" s="1"/>
      <c r="J2" s="1"/>
      <c r="K2" s="5"/>
      <c r="L2" s="1">
        <v>27</v>
      </c>
      <c r="M2" s="1" t="s">
        <v>38</v>
      </c>
      <c r="N2" s="1" t="s">
        <v>39</v>
      </c>
      <c r="O2" s="1">
        <f t="shared" ref="O2:O5" si="0">17/27*100</f>
        <v>62.962962962962962</v>
      </c>
      <c r="P2" s="1" t="s">
        <v>40</v>
      </c>
      <c r="Q2" s="1" t="s">
        <v>41</v>
      </c>
      <c r="R2" s="1" t="s">
        <v>42</v>
      </c>
      <c r="S2" s="1" t="s">
        <v>43</v>
      </c>
      <c r="T2" s="1"/>
      <c r="U2" s="1" t="s">
        <v>44</v>
      </c>
      <c r="V2" s="1" t="s">
        <v>45</v>
      </c>
      <c r="W2" s="1" t="s">
        <v>46</v>
      </c>
      <c r="X2" s="1" t="s">
        <v>47</v>
      </c>
      <c r="Y2" s="6">
        <f t="shared" ref="Y2:Y3" si="1">42.8</f>
        <v>42.8</v>
      </c>
      <c r="Z2" s="6">
        <v>2.58</v>
      </c>
      <c r="AA2" s="6">
        <v>47.9</v>
      </c>
      <c r="AB2" s="6">
        <v>2.2000000000000002</v>
      </c>
      <c r="AC2" s="6"/>
      <c r="AD2" s="7"/>
      <c r="AE2" s="6"/>
      <c r="AF2" s="7"/>
      <c r="AG2" s="4"/>
      <c r="AH2" s="1" t="s">
        <v>48</v>
      </c>
      <c r="AI2" s="1">
        <f t="shared" ref="AI2:AI5" si="2">(AA2-Y2)/AK2</f>
        <v>2.1271799993561347</v>
      </c>
      <c r="AJ2" s="5">
        <f t="shared" ref="AJ2:AJ9" si="3">AI2*(1-(3/(4*(L2-1)-1)))</f>
        <v>2.0652233003457616</v>
      </c>
      <c r="AK2" s="1">
        <f t="shared" ref="AK2:AK5" si="4">SQRT(((L2-1)*Z2^2+(L2-1)*AB2^2)/(2*L2-2))</f>
        <v>2.3975404063331238</v>
      </c>
      <c r="AL2" s="1"/>
      <c r="AM2" s="1"/>
      <c r="AN2" s="1"/>
    </row>
    <row r="3" spans="1:40" ht="89.25" x14ac:dyDescent="0.35">
      <c r="A3" s="1">
        <v>12</v>
      </c>
      <c r="B3" s="1" t="s">
        <v>37</v>
      </c>
      <c r="C3" s="1"/>
      <c r="D3" s="1"/>
      <c r="E3" s="1"/>
      <c r="F3" s="1"/>
      <c r="G3" s="1"/>
      <c r="H3" s="1"/>
      <c r="I3" s="1"/>
      <c r="J3" s="1"/>
      <c r="K3" s="1"/>
      <c r="L3" s="1">
        <v>27</v>
      </c>
      <c r="M3" s="1" t="s">
        <v>38</v>
      </c>
      <c r="N3" s="1" t="s">
        <v>39</v>
      </c>
      <c r="O3" s="1">
        <f t="shared" si="0"/>
        <v>62.962962962962962</v>
      </c>
      <c r="P3" s="1" t="s">
        <v>40</v>
      </c>
      <c r="Q3" s="1" t="s">
        <v>41</v>
      </c>
      <c r="R3" s="1" t="s">
        <v>42</v>
      </c>
      <c r="S3" s="1" t="s">
        <v>43</v>
      </c>
      <c r="T3" s="1"/>
      <c r="U3" s="1" t="s">
        <v>49</v>
      </c>
      <c r="V3" s="1" t="s">
        <v>45</v>
      </c>
      <c r="W3" s="1" t="s">
        <v>46</v>
      </c>
      <c r="X3" s="1" t="s">
        <v>47</v>
      </c>
      <c r="Y3" s="6">
        <f t="shared" si="1"/>
        <v>42.8</v>
      </c>
      <c r="Z3" s="6">
        <v>2.58</v>
      </c>
      <c r="AA3" s="6">
        <v>48</v>
      </c>
      <c r="AB3" s="6">
        <v>2.15</v>
      </c>
      <c r="AC3" s="6"/>
      <c r="AD3" s="7"/>
      <c r="AE3" s="6"/>
      <c r="AF3" s="3"/>
      <c r="AG3" s="4"/>
      <c r="AH3" s="1" t="s">
        <v>48</v>
      </c>
      <c r="AI3" s="1">
        <f t="shared" si="2"/>
        <v>2.1897017647492865</v>
      </c>
      <c r="AJ3" s="5">
        <f t="shared" si="3"/>
        <v>2.125924043445909</v>
      </c>
      <c r="AK3" s="1">
        <f t="shared" si="4"/>
        <v>2.3747526186952612</v>
      </c>
      <c r="AL3" s="1"/>
      <c r="AM3" s="1"/>
      <c r="AN3" s="1"/>
    </row>
    <row r="4" spans="1:40" ht="89.25" x14ac:dyDescent="0.35">
      <c r="A4" s="1">
        <v>12</v>
      </c>
      <c r="B4" s="1" t="s">
        <v>37</v>
      </c>
      <c r="C4" s="1"/>
      <c r="D4" s="1"/>
      <c r="E4" s="1"/>
      <c r="F4" s="1"/>
      <c r="G4" s="1"/>
      <c r="H4" s="1"/>
      <c r="I4" s="1"/>
      <c r="J4" s="1"/>
      <c r="K4" s="1"/>
      <c r="L4" s="1">
        <v>27</v>
      </c>
      <c r="M4" s="1" t="s">
        <v>38</v>
      </c>
      <c r="N4" s="1" t="s">
        <v>39</v>
      </c>
      <c r="O4" s="1">
        <f t="shared" si="0"/>
        <v>62.962962962962962</v>
      </c>
      <c r="P4" s="1" t="s">
        <v>40</v>
      </c>
      <c r="Q4" s="1" t="s">
        <v>41</v>
      </c>
      <c r="R4" s="1" t="s">
        <v>42</v>
      </c>
      <c r="S4" s="1" t="s">
        <v>43</v>
      </c>
      <c r="T4" s="1"/>
      <c r="U4" s="1" t="s">
        <v>50</v>
      </c>
      <c r="V4" s="1" t="s">
        <v>45</v>
      </c>
      <c r="W4" s="1" t="s">
        <v>46</v>
      </c>
      <c r="X4" s="1" t="s">
        <v>51</v>
      </c>
      <c r="Y4" s="6">
        <v>43.5</v>
      </c>
      <c r="Z4" s="6">
        <v>3.19</v>
      </c>
      <c r="AA4" s="6">
        <v>48.5</v>
      </c>
      <c r="AB4" s="6">
        <v>3.13</v>
      </c>
      <c r="AC4" s="6"/>
      <c r="AD4" s="7"/>
      <c r="AE4" s="6"/>
      <c r="AF4" s="7"/>
      <c r="AG4" s="4"/>
      <c r="AH4" s="1" t="s">
        <v>48</v>
      </c>
      <c r="AI4" s="1">
        <f t="shared" si="2"/>
        <v>1.5822071806211893</v>
      </c>
      <c r="AJ4" s="5">
        <f t="shared" si="3"/>
        <v>1.5361234763312517</v>
      </c>
      <c r="AK4" s="1">
        <f t="shared" si="4"/>
        <v>3.1601424018547011</v>
      </c>
      <c r="AL4" s="1"/>
      <c r="AM4" s="1"/>
      <c r="AN4" s="1"/>
    </row>
    <row r="5" spans="1:40" ht="89.25" x14ac:dyDescent="0.35">
      <c r="A5" s="1">
        <v>12</v>
      </c>
      <c r="B5" s="1" t="s">
        <v>37</v>
      </c>
      <c r="C5" s="1"/>
      <c r="D5" s="1"/>
      <c r="E5" s="1"/>
      <c r="F5" s="1"/>
      <c r="G5" s="1"/>
      <c r="H5" s="1"/>
      <c r="I5" s="1"/>
      <c r="J5" s="1"/>
      <c r="K5" s="1"/>
      <c r="L5" s="1">
        <v>27</v>
      </c>
      <c r="M5" s="1" t="s">
        <v>38</v>
      </c>
      <c r="N5" s="1" t="s">
        <v>39</v>
      </c>
      <c r="O5" s="1">
        <f t="shared" si="0"/>
        <v>62.962962962962962</v>
      </c>
      <c r="P5" s="1" t="s">
        <v>40</v>
      </c>
      <c r="Q5" s="1" t="s">
        <v>41</v>
      </c>
      <c r="R5" s="1" t="s">
        <v>42</v>
      </c>
      <c r="S5" s="1" t="s">
        <v>43</v>
      </c>
      <c r="T5" s="1"/>
      <c r="U5" s="1" t="s">
        <v>52</v>
      </c>
      <c r="V5" s="1" t="s">
        <v>45</v>
      </c>
      <c r="W5" s="1" t="s">
        <v>46</v>
      </c>
      <c r="X5" s="1" t="s">
        <v>51</v>
      </c>
      <c r="Y5" s="6">
        <v>43.5</v>
      </c>
      <c r="Z5" s="6">
        <v>3.19</v>
      </c>
      <c r="AA5" s="6">
        <v>47.2</v>
      </c>
      <c r="AB5" s="6">
        <v>2.97</v>
      </c>
      <c r="AC5" s="6"/>
      <c r="AD5" s="7"/>
      <c r="AE5" s="6"/>
      <c r="AF5" s="7"/>
      <c r="AG5" s="4"/>
      <c r="AH5" s="1" t="s">
        <v>48</v>
      </c>
      <c r="AI5" s="1">
        <f t="shared" si="2"/>
        <v>1.2005332990538753</v>
      </c>
      <c r="AJ5" s="5">
        <f t="shared" si="3"/>
        <v>1.165566309761044</v>
      </c>
      <c r="AK5" s="1">
        <f t="shared" si="4"/>
        <v>3.0819636597468181</v>
      </c>
      <c r="AL5" s="1"/>
      <c r="AM5" s="1"/>
      <c r="AN5" s="1"/>
    </row>
    <row r="6" spans="1:40" ht="38.25" x14ac:dyDescent="0.35">
      <c r="A6" s="5">
        <v>1</v>
      </c>
      <c r="B6" s="5" t="s">
        <v>53</v>
      </c>
      <c r="C6" s="5"/>
      <c r="D6" s="5"/>
      <c r="E6" s="5"/>
      <c r="F6" s="5"/>
      <c r="G6" s="5"/>
      <c r="H6" s="5"/>
      <c r="I6" s="5"/>
      <c r="J6" s="5"/>
      <c r="K6" s="5"/>
      <c r="L6" s="5">
        <v>45</v>
      </c>
      <c r="M6" s="5"/>
      <c r="N6" s="5"/>
      <c r="O6" s="5">
        <v>85</v>
      </c>
      <c r="P6" s="1" t="s">
        <v>40</v>
      </c>
      <c r="Q6" s="1" t="s">
        <v>41</v>
      </c>
      <c r="R6" s="5" t="s">
        <v>54</v>
      </c>
      <c r="S6" s="5" t="s">
        <v>55</v>
      </c>
      <c r="T6" s="5"/>
      <c r="U6" s="5" t="s">
        <v>56</v>
      </c>
      <c r="V6" s="5" t="s">
        <v>57</v>
      </c>
      <c r="W6" s="5" t="s">
        <v>58</v>
      </c>
      <c r="X6" s="5" t="s">
        <v>59</v>
      </c>
      <c r="Y6" s="5"/>
      <c r="Z6" s="5"/>
      <c r="AA6" s="5"/>
      <c r="AB6" s="5"/>
      <c r="AC6" s="5" t="s">
        <v>60</v>
      </c>
      <c r="AD6" s="8">
        <v>4.41</v>
      </c>
      <c r="AE6" s="5">
        <v>44</v>
      </c>
      <c r="AF6" s="8">
        <v>0</v>
      </c>
      <c r="AG6" s="4"/>
      <c r="AH6" s="1" t="s">
        <v>61</v>
      </c>
      <c r="AI6" s="5">
        <f t="shared" ref="AI6:AI9" si="5">AD6/SQRT(L6)</f>
        <v>0.65740398538493816</v>
      </c>
      <c r="AJ6" s="5">
        <f t="shared" si="3"/>
        <v>0.64613420277833922</v>
      </c>
      <c r="AK6" s="1"/>
      <c r="AL6" s="5"/>
      <c r="AM6" s="5"/>
      <c r="AN6" s="5"/>
    </row>
    <row r="7" spans="1:40" ht="38.25" x14ac:dyDescent="0.35">
      <c r="A7" s="5">
        <v>1</v>
      </c>
      <c r="B7" s="5" t="s">
        <v>53</v>
      </c>
      <c r="C7" s="5"/>
      <c r="D7" s="5"/>
      <c r="E7" s="5"/>
      <c r="F7" s="5"/>
      <c r="G7" s="5"/>
      <c r="H7" s="5"/>
      <c r="I7" s="5"/>
      <c r="J7" s="5"/>
      <c r="K7" s="5"/>
      <c r="L7" s="5">
        <v>20</v>
      </c>
      <c r="M7" s="5"/>
      <c r="N7" s="5"/>
      <c r="O7" s="5">
        <v>85</v>
      </c>
      <c r="P7" s="1" t="s">
        <v>40</v>
      </c>
      <c r="Q7" s="1" t="s">
        <v>41</v>
      </c>
      <c r="R7" s="5" t="s">
        <v>54</v>
      </c>
      <c r="S7" s="5" t="s">
        <v>55</v>
      </c>
      <c r="T7" s="5"/>
      <c r="U7" s="5" t="s">
        <v>62</v>
      </c>
      <c r="V7" s="5" t="s">
        <v>57</v>
      </c>
      <c r="W7" s="5" t="s">
        <v>58</v>
      </c>
      <c r="X7" s="5" t="s">
        <v>59</v>
      </c>
      <c r="Y7" s="5"/>
      <c r="Z7" s="5"/>
      <c r="AA7" s="5"/>
      <c r="AB7" s="5"/>
      <c r="AC7" s="5" t="s">
        <v>60</v>
      </c>
      <c r="AD7" s="8">
        <v>0.15</v>
      </c>
      <c r="AE7" s="5">
        <v>19</v>
      </c>
      <c r="AF7" s="8">
        <v>0.88</v>
      </c>
      <c r="AG7" s="4"/>
      <c r="AH7" s="1" t="s">
        <v>61</v>
      </c>
      <c r="AI7" s="5">
        <f t="shared" si="5"/>
        <v>3.354101966249684E-2</v>
      </c>
      <c r="AJ7" s="5">
        <f t="shared" si="3"/>
        <v>3.2199378875996963E-2</v>
      </c>
      <c r="AK7" s="1"/>
      <c r="AL7" s="5"/>
      <c r="AM7" s="5"/>
      <c r="AN7" s="5"/>
    </row>
    <row r="8" spans="1:40" ht="38.25" x14ac:dyDescent="0.35">
      <c r="A8" s="5">
        <v>1</v>
      </c>
      <c r="B8" s="5" t="s">
        <v>53</v>
      </c>
      <c r="C8" s="5"/>
      <c r="D8" s="5"/>
      <c r="E8" s="5"/>
      <c r="F8" s="5"/>
      <c r="G8" s="5"/>
      <c r="H8" s="5"/>
      <c r="I8" s="5"/>
      <c r="J8" s="5"/>
      <c r="K8" s="5"/>
      <c r="L8" s="5">
        <v>20</v>
      </c>
      <c r="M8" s="5"/>
      <c r="N8" s="5"/>
      <c r="O8" s="5">
        <v>85</v>
      </c>
      <c r="P8" s="1" t="s">
        <v>40</v>
      </c>
      <c r="Q8" s="1" t="s">
        <v>41</v>
      </c>
      <c r="R8" s="5" t="s">
        <v>54</v>
      </c>
      <c r="S8" s="5" t="s">
        <v>55</v>
      </c>
      <c r="T8" s="5"/>
      <c r="U8" s="5" t="s">
        <v>63</v>
      </c>
      <c r="V8" s="5" t="s">
        <v>57</v>
      </c>
      <c r="W8" s="5" t="s">
        <v>58</v>
      </c>
      <c r="X8" s="5" t="s">
        <v>59</v>
      </c>
      <c r="Y8" s="5"/>
      <c r="Z8" s="5"/>
      <c r="AA8" s="5"/>
      <c r="AB8" s="5"/>
      <c r="AC8" s="5" t="s">
        <v>60</v>
      </c>
      <c r="AD8" s="8">
        <v>0.28000000000000003</v>
      </c>
      <c r="AE8" s="5">
        <v>19</v>
      </c>
      <c r="AF8" s="8">
        <v>0.78</v>
      </c>
      <c r="AG8" s="4"/>
      <c r="AH8" s="1" t="s">
        <v>61</v>
      </c>
      <c r="AI8" s="5">
        <f t="shared" si="5"/>
        <v>6.2609903369994113E-2</v>
      </c>
      <c r="AJ8" s="5">
        <f t="shared" si="3"/>
        <v>6.0105507235194346E-2</v>
      </c>
      <c r="AK8" s="1"/>
      <c r="AL8" s="5"/>
      <c r="AM8" s="5"/>
      <c r="AN8" s="5"/>
    </row>
    <row r="9" spans="1:40" ht="38.25" x14ac:dyDescent="0.35">
      <c r="A9" s="5">
        <v>1</v>
      </c>
      <c r="B9" s="5" t="s">
        <v>53</v>
      </c>
      <c r="C9" s="5"/>
      <c r="D9" s="5"/>
      <c r="E9" s="5"/>
      <c r="F9" s="5"/>
      <c r="G9" s="5"/>
      <c r="H9" s="5"/>
      <c r="I9" s="5"/>
      <c r="J9" s="5"/>
      <c r="K9" s="5"/>
      <c r="L9" s="5">
        <v>25</v>
      </c>
      <c r="M9" s="5"/>
      <c r="N9" s="5"/>
      <c r="O9" s="5">
        <v>84</v>
      </c>
      <c r="P9" s="1" t="s">
        <v>40</v>
      </c>
      <c r="Q9" s="1" t="s">
        <v>41</v>
      </c>
      <c r="R9" s="5" t="s">
        <v>54</v>
      </c>
      <c r="S9" s="5" t="s">
        <v>55</v>
      </c>
      <c r="T9" s="5"/>
      <c r="U9" s="5" t="s">
        <v>64</v>
      </c>
      <c r="V9" s="5" t="s">
        <v>57</v>
      </c>
      <c r="W9" s="5" t="s">
        <v>58</v>
      </c>
      <c r="X9" s="5" t="s">
        <v>59</v>
      </c>
      <c r="Y9" s="5"/>
      <c r="Z9" s="5"/>
      <c r="AA9" s="5"/>
      <c r="AB9" s="5"/>
      <c r="AC9" s="5" t="s">
        <v>60</v>
      </c>
      <c r="AD9" s="8">
        <v>0.53</v>
      </c>
      <c r="AE9" s="5">
        <v>24</v>
      </c>
      <c r="AF9" s="8">
        <v>0.6</v>
      </c>
      <c r="AG9" s="4"/>
      <c r="AH9" s="1" t="s">
        <v>61</v>
      </c>
      <c r="AI9" s="5">
        <f t="shared" si="5"/>
        <v>0.10600000000000001</v>
      </c>
      <c r="AJ9" s="5">
        <f t="shared" si="3"/>
        <v>0.10265263157894738</v>
      </c>
      <c r="AK9" s="1"/>
      <c r="AL9" s="5"/>
      <c r="AM9" s="5"/>
      <c r="AN9" s="5"/>
    </row>
    <row r="10" spans="1:40" ht="51" x14ac:dyDescent="0.35">
      <c r="A10" s="9">
        <v>2</v>
      </c>
      <c r="B10" s="5" t="s">
        <v>65</v>
      </c>
      <c r="C10" s="5"/>
      <c r="D10" s="5"/>
      <c r="E10" s="5"/>
      <c r="F10" s="5"/>
      <c r="G10" s="5"/>
      <c r="H10" s="5">
        <v>22</v>
      </c>
      <c r="I10" s="5" t="s">
        <v>66</v>
      </c>
      <c r="J10" s="5"/>
      <c r="K10" s="5" t="s">
        <v>67</v>
      </c>
      <c r="L10" s="5">
        <v>57</v>
      </c>
      <c r="M10" s="5" t="s">
        <v>68</v>
      </c>
      <c r="N10" s="5"/>
      <c r="O10" s="5" t="s">
        <v>69</v>
      </c>
      <c r="P10" s="5" t="s">
        <v>70</v>
      </c>
      <c r="Q10" s="5" t="s">
        <v>41</v>
      </c>
      <c r="R10" s="5" t="s">
        <v>71</v>
      </c>
      <c r="S10" s="5" t="s">
        <v>72</v>
      </c>
      <c r="T10" s="5" t="s">
        <v>73</v>
      </c>
      <c r="U10" s="5" t="s">
        <v>74</v>
      </c>
      <c r="V10" s="5" t="s">
        <v>75</v>
      </c>
      <c r="W10" s="5"/>
      <c r="X10" s="5"/>
      <c r="Y10" s="5" t="s">
        <v>76</v>
      </c>
      <c r="Z10" s="5" t="s">
        <v>77</v>
      </c>
      <c r="AA10" s="5" t="s">
        <v>78</v>
      </c>
      <c r="AB10" s="5" t="s">
        <v>79</v>
      </c>
      <c r="AC10" s="5" t="s">
        <v>80</v>
      </c>
      <c r="AD10" s="8">
        <v>-3017</v>
      </c>
      <c r="AE10" s="5">
        <v>76</v>
      </c>
      <c r="AF10" s="8" t="s">
        <v>81</v>
      </c>
      <c r="AG10" s="4"/>
      <c r="AH10" s="5"/>
      <c r="AI10" s="10">
        <v>-399611412</v>
      </c>
      <c r="AJ10" s="10">
        <v>-394235474</v>
      </c>
      <c r="AK10" s="5"/>
      <c r="AL10" s="5"/>
      <c r="AM10" s="5"/>
      <c r="AN10" s="5"/>
    </row>
    <row r="11" spans="1:40" ht="51" x14ac:dyDescent="0.35">
      <c r="A11" s="9">
        <v>2</v>
      </c>
      <c r="B11" s="5" t="s">
        <v>65</v>
      </c>
      <c r="C11" s="5"/>
      <c r="D11" s="5"/>
      <c r="E11" s="5"/>
      <c r="F11" s="5"/>
      <c r="G11" s="5"/>
      <c r="H11" s="5">
        <v>22</v>
      </c>
      <c r="I11" s="5" t="s">
        <v>66</v>
      </c>
      <c r="J11" s="5"/>
      <c r="K11" s="5" t="s">
        <v>67</v>
      </c>
      <c r="L11" s="5">
        <v>19</v>
      </c>
      <c r="M11" s="5" t="s">
        <v>82</v>
      </c>
      <c r="N11" s="5"/>
      <c r="O11" s="5" t="s">
        <v>83</v>
      </c>
      <c r="P11" s="5" t="s">
        <v>70</v>
      </c>
      <c r="Q11" s="5" t="s">
        <v>41</v>
      </c>
      <c r="R11" s="5" t="s">
        <v>71</v>
      </c>
      <c r="S11" s="5" t="s">
        <v>72</v>
      </c>
      <c r="T11" s="5" t="s">
        <v>73</v>
      </c>
      <c r="U11" s="5" t="s">
        <v>84</v>
      </c>
      <c r="V11" s="5" t="s">
        <v>75</v>
      </c>
      <c r="W11" s="5"/>
      <c r="X11" s="5"/>
      <c r="Y11" s="5" t="s">
        <v>76</v>
      </c>
      <c r="Z11" s="5" t="s">
        <v>77</v>
      </c>
      <c r="AA11" s="5" t="s">
        <v>85</v>
      </c>
      <c r="AB11" s="5" t="s">
        <v>86</v>
      </c>
      <c r="AC11" s="5" t="s">
        <v>80</v>
      </c>
      <c r="AD11" s="8" t="s">
        <v>87</v>
      </c>
      <c r="AE11" s="5">
        <v>38</v>
      </c>
      <c r="AF11" s="8">
        <v>1E-3</v>
      </c>
      <c r="AG11" s="4"/>
      <c r="AH11" s="5"/>
      <c r="AI11" s="10">
        <v>812131698</v>
      </c>
      <c r="AJ11" s="10">
        <v>777816274</v>
      </c>
      <c r="AK11" s="5"/>
      <c r="AL11" s="5"/>
      <c r="AM11" s="5"/>
      <c r="AN11" s="5"/>
    </row>
    <row r="12" spans="1:40" ht="51" x14ac:dyDescent="0.35">
      <c r="A12" s="9">
        <v>2</v>
      </c>
      <c r="B12" s="5" t="s">
        <v>65</v>
      </c>
      <c r="C12" s="5"/>
      <c r="D12" s="5"/>
      <c r="E12" s="5"/>
      <c r="F12" s="5"/>
      <c r="G12" s="5"/>
      <c r="H12" s="5"/>
      <c r="I12" s="5"/>
      <c r="J12" s="5"/>
      <c r="K12" s="5"/>
      <c r="L12" s="5">
        <v>22</v>
      </c>
      <c r="M12" s="5" t="s">
        <v>66</v>
      </c>
      <c r="N12" s="5"/>
      <c r="O12" s="5" t="s">
        <v>67</v>
      </c>
      <c r="P12" s="5" t="s">
        <v>70</v>
      </c>
      <c r="Q12" s="5" t="s">
        <v>41</v>
      </c>
      <c r="R12" s="5" t="s">
        <v>71</v>
      </c>
      <c r="S12" s="5" t="s">
        <v>72</v>
      </c>
      <c r="T12" s="5" t="s">
        <v>73</v>
      </c>
      <c r="U12" s="5" t="s">
        <v>88</v>
      </c>
      <c r="V12" s="5" t="s">
        <v>75</v>
      </c>
      <c r="W12" s="5"/>
      <c r="X12" s="5"/>
      <c r="Y12" s="5" t="s">
        <v>89</v>
      </c>
      <c r="Z12" s="5" t="s">
        <v>90</v>
      </c>
      <c r="AA12" s="5" t="s">
        <v>76</v>
      </c>
      <c r="AB12" s="5" t="s">
        <v>77</v>
      </c>
      <c r="AC12" s="5" t="s">
        <v>80</v>
      </c>
      <c r="AD12" s="8" t="s">
        <v>91</v>
      </c>
      <c r="AE12" s="5">
        <v>21</v>
      </c>
      <c r="AF12" s="8" t="s">
        <v>92</v>
      </c>
      <c r="AG12" s="4"/>
      <c r="AH12" s="5" t="s">
        <v>93</v>
      </c>
      <c r="AI12" s="5"/>
      <c r="AJ12" s="5"/>
      <c r="AK12" s="5"/>
      <c r="AL12" s="5"/>
      <c r="AM12" s="5"/>
      <c r="AN12" s="5"/>
    </row>
    <row r="13" spans="1:40" ht="51" x14ac:dyDescent="0.35">
      <c r="A13" s="9">
        <v>2</v>
      </c>
      <c r="B13" s="5" t="s">
        <v>65</v>
      </c>
      <c r="C13" s="5"/>
      <c r="D13" s="5"/>
      <c r="E13" s="5"/>
      <c r="F13" s="5"/>
      <c r="G13" s="5"/>
      <c r="H13" s="5"/>
      <c r="I13" s="5"/>
      <c r="J13" s="5"/>
      <c r="K13" s="5"/>
      <c r="L13" s="5">
        <v>57</v>
      </c>
      <c r="M13" s="5" t="s">
        <v>68</v>
      </c>
      <c r="N13" s="5"/>
      <c r="O13" s="5" t="s">
        <v>69</v>
      </c>
      <c r="P13" s="5" t="s">
        <v>70</v>
      </c>
      <c r="Q13" s="5" t="s">
        <v>41</v>
      </c>
      <c r="R13" s="5" t="s">
        <v>71</v>
      </c>
      <c r="S13" s="5" t="s">
        <v>72</v>
      </c>
      <c r="T13" s="5" t="s">
        <v>73</v>
      </c>
      <c r="U13" s="5" t="s">
        <v>94</v>
      </c>
      <c r="V13" s="5" t="s">
        <v>75</v>
      </c>
      <c r="W13" s="5"/>
      <c r="X13" s="5"/>
      <c r="Y13" s="5" t="s">
        <v>95</v>
      </c>
      <c r="Z13" s="5" t="s">
        <v>96</v>
      </c>
      <c r="AA13" s="5" t="s">
        <v>78</v>
      </c>
      <c r="AB13" s="5" t="s">
        <v>79</v>
      </c>
      <c r="AC13" s="5" t="s">
        <v>80</v>
      </c>
      <c r="AD13" s="8" t="s">
        <v>97</v>
      </c>
      <c r="AE13" s="5">
        <v>56</v>
      </c>
      <c r="AF13" s="8" t="s">
        <v>98</v>
      </c>
      <c r="AG13" s="4"/>
      <c r="AH13" s="5" t="s">
        <v>99</v>
      </c>
      <c r="AI13" s="5"/>
      <c r="AJ13" s="5"/>
      <c r="AK13" s="5"/>
      <c r="AL13" s="5"/>
      <c r="AM13" s="5"/>
      <c r="AN13" s="5"/>
    </row>
    <row r="14" spans="1:40" ht="51" x14ac:dyDescent="0.35">
      <c r="A14" s="9">
        <v>2</v>
      </c>
      <c r="B14" s="5" t="s">
        <v>65</v>
      </c>
      <c r="C14" s="5"/>
      <c r="D14" s="5"/>
      <c r="E14" s="5"/>
      <c r="F14" s="5"/>
      <c r="G14" s="5"/>
      <c r="H14" s="5"/>
      <c r="I14" s="5"/>
      <c r="J14" s="5"/>
      <c r="K14" s="5"/>
      <c r="L14" s="5">
        <v>19</v>
      </c>
      <c r="M14" s="5" t="s">
        <v>82</v>
      </c>
      <c r="N14" s="5"/>
      <c r="O14" s="5" t="s">
        <v>83</v>
      </c>
      <c r="P14" s="5" t="s">
        <v>70</v>
      </c>
      <c r="Q14" s="5" t="s">
        <v>41</v>
      </c>
      <c r="R14" s="5" t="s">
        <v>71</v>
      </c>
      <c r="S14" s="5" t="s">
        <v>72</v>
      </c>
      <c r="T14" s="5" t="s">
        <v>73</v>
      </c>
      <c r="U14" s="5" t="s">
        <v>100</v>
      </c>
      <c r="V14" s="5" t="s">
        <v>75</v>
      </c>
      <c r="W14" s="5"/>
      <c r="X14" s="5"/>
      <c r="Y14" s="5" t="s">
        <v>101</v>
      </c>
      <c r="Z14" s="5" t="s">
        <v>102</v>
      </c>
      <c r="AA14" s="5" t="s">
        <v>85</v>
      </c>
      <c r="AB14" s="5" t="s">
        <v>86</v>
      </c>
      <c r="AC14" s="5" t="s">
        <v>80</v>
      </c>
      <c r="AD14" s="8" t="s">
        <v>103</v>
      </c>
      <c r="AE14" s="5">
        <v>18</v>
      </c>
      <c r="AF14" s="8" t="s">
        <v>98</v>
      </c>
      <c r="AG14" s="4"/>
      <c r="AH14" s="5" t="s">
        <v>99</v>
      </c>
      <c r="AI14" s="5"/>
      <c r="AJ14" s="5"/>
      <c r="AK14" s="5"/>
      <c r="AL14" s="5"/>
      <c r="AM14" s="5"/>
      <c r="AN14" s="5"/>
    </row>
    <row r="15" spans="1:40" ht="63.75" x14ac:dyDescent="0.35">
      <c r="A15" s="9">
        <v>3</v>
      </c>
      <c r="B15" s="5" t="s">
        <v>104</v>
      </c>
      <c r="C15" s="5"/>
      <c r="D15" s="5"/>
      <c r="E15" s="5"/>
      <c r="F15" s="5"/>
      <c r="G15" s="5"/>
      <c r="H15" s="5"/>
      <c r="I15" s="5"/>
      <c r="J15" s="5"/>
      <c r="K15" s="5"/>
      <c r="L15" s="5">
        <v>30</v>
      </c>
      <c r="M15" s="5" t="s">
        <v>105</v>
      </c>
      <c r="N15" s="5"/>
      <c r="O15" s="5">
        <v>70</v>
      </c>
      <c r="P15" s="5" t="s">
        <v>70</v>
      </c>
      <c r="Q15" s="5" t="s">
        <v>41</v>
      </c>
      <c r="R15" s="5" t="s">
        <v>106</v>
      </c>
      <c r="S15" s="5" t="s">
        <v>38</v>
      </c>
      <c r="T15" s="5" t="s">
        <v>107</v>
      </c>
      <c r="U15" s="5" t="s">
        <v>108</v>
      </c>
      <c r="V15" s="5" t="s">
        <v>45</v>
      </c>
      <c r="W15" s="5" t="s">
        <v>109</v>
      </c>
      <c r="X15" s="5" t="s">
        <v>110</v>
      </c>
      <c r="Y15" s="5" t="s">
        <v>111</v>
      </c>
      <c r="Z15" s="5" t="s">
        <v>112</v>
      </c>
      <c r="AA15" s="5" t="s">
        <v>113</v>
      </c>
      <c r="AB15" s="5" t="s">
        <v>114</v>
      </c>
      <c r="AC15" s="5" t="s">
        <v>80</v>
      </c>
      <c r="AD15" s="8" t="s">
        <v>38</v>
      </c>
      <c r="AE15" s="5" t="s">
        <v>38</v>
      </c>
      <c r="AF15" s="8">
        <v>0.126</v>
      </c>
      <c r="AG15" s="4"/>
      <c r="AH15" s="5" t="s">
        <v>99</v>
      </c>
      <c r="AI15" s="5"/>
      <c r="AJ15" s="5"/>
      <c r="AK15" s="5"/>
      <c r="AL15" s="5"/>
      <c r="AM15" s="5"/>
      <c r="AN15" s="5"/>
    </row>
    <row r="16" spans="1:40" ht="140.25" x14ac:dyDescent="0.35">
      <c r="A16" s="9">
        <v>3</v>
      </c>
      <c r="B16" s="5" t="s">
        <v>104</v>
      </c>
      <c r="C16" s="5"/>
      <c r="D16" s="5"/>
      <c r="E16" s="5"/>
      <c r="F16" s="5"/>
      <c r="G16" s="5"/>
      <c r="H16" s="5"/>
      <c r="I16" s="5"/>
      <c r="J16" s="5"/>
      <c r="K16" s="5"/>
      <c r="L16" s="5">
        <v>30</v>
      </c>
      <c r="M16" s="5" t="s">
        <v>105</v>
      </c>
      <c r="N16" s="5"/>
      <c r="O16" s="5">
        <v>70</v>
      </c>
      <c r="P16" s="5" t="s">
        <v>70</v>
      </c>
      <c r="Q16" s="5" t="s">
        <v>41</v>
      </c>
      <c r="R16" s="5" t="s">
        <v>106</v>
      </c>
      <c r="S16" s="5" t="s">
        <v>38</v>
      </c>
      <c r="T16" s="5" t="s">
        <v>107</v>
      </c>
      <c r="U16" s="5" t="s">
        <v>115</v>
      </c>
      <c r="V16" s="5" t="s">
        <v>75</v>
      </c>
      <c r="W16" s="5" t="s">
        <v>116</v>
      </c>
      <c r="X16" s="5" t="s">
        <v>110</v>
      </c>
      <c r="Y16" s="5" t="s">
        <v>117</v>
      </c>
      <c r="Z16" s="5" t="s">
        <v>118</v>
      </c>
      <c r="AA16" s="5" t="s">
        <v>119</v>
      </c>
      <c r="AB16" s="5" t="s">
        <v>120</v>
      </c>
      <c r="AC16" s="5" t="s">
        <v>121</v>
      </c>
      <c r="AD16" s="8" t="s">
        <v>122</v>
      </c>
      <c r="AE16" s="11">
        <v>45686</v>
      </c>
      <c r="AF16" s="8">
        <v>0.22800000000000001</v>
      </c>
      <c r="AG16" s="4"/>
      <c r="AH16" s="5" t="s">
        <v>99</v>
      </c>
      <c r="AI16" s="5"/>
      <c r="AJ16" s="5"/>
      <c r="AK16" s="5"/>
      <c r="AL16" s="5"/>
      <c r="AM16" s="5"/>
      <c r="AN16" s="5"/>
    </row>
    <row r="17" spans="1:40" ht="140.25" x14ac:dyDescent="0.35">
      <c r="A17" s="9">
        <v>3</v>
      </c>
      <c r="B17" s="5" t="s">
        <v>104</v>
      </c>
      <c r="C17" s="5"/>
      <c r="D17" s="5"/>
      <c r="E17" s="5"/>
      <c r="F17" s="5"/>
      <c r="G17" s="5"/>
      <c r="H17" s="5"/>
      <c r="I17" s="5"/>
      <c r="J17" s="5"/>
      <c r="K17" s="5"/>
      <c r="L17" s="5">
        <v>30</v>
      </c>
      <c r="M17" s="5" t="s">
        <v>105</v>
      </c>
      <c r="N17" s="5"/>
      <c r="O17" s="5">
        <v>70</v>
      </c>
      <c r="P17" s="5" t="s">
        <v>70</v>
      </c>
      <c r="Q17" s="5" t="s">
        <v>41</v>
      </c>
      <c r="R17" s="5" t="s">
        <v>106</v>
      </c>
      <c r="S17" s="5" t="s">
        <v>38</v>
      </c>
      <c r="T17" s="5" t="s">
        <v>107</v>
      </c>
      <c r="U17" s="5" t="s">
        <v>123</v>
      </c>
      <c r="V17" s="5" t="s">
        <v>75</v>
      </c>
      <c r="W17" s="5" t="s">
        <v>116</v>
      </c>
      <c r="X17" s="5" t="s">
        <v>110</v>
      </c>
      <c r="Y17" s="5" t="s">
        <v>124</v>
      </c>
      <c r="Z17" s="5" t="s">
        <v>125</v>
      </c>
      <c r="AA17" s="5" t="s">
        <v>126</v>
      </c>
      <c r="AB17" s="5" t="s">
        <v>127</v>
      </c>
      <c r="AC17" s="5" t="s">
        <v>121</v>
      </c>
      <c r="AD17" s="8">
        <v>24679</v>
      </c>
      <c r="AE17" s="11">
        <v>45686</v>
      </c>
      <c r="AF17" s="8" t="s">
        <v>98</v>
      </c>
      <c r="AG17" s="4"/>
      <c r="AH17" s="5" t="s">
        <v>99</v>
      </c>
      <c r="AI17" s="5"/>
      <c r="AJ17" s="5"/>
      <c r="AK17" s="5"/>
      <c r="AL17" s="5"/>
      <c r="AM17" s="5"/>
      <c r="AN17" s="5"/>
    </row>
    <row r="18" spans="1:40" ht="409.5" x14ac:dyDescent="0.35">
      <c r="A18" s="5">
        <v>4</v>
      </c>
      <c r="B18" s="5" t="s">
        <v>128</v>
      </c>
      <c r="C18" s="5"/>
      <c r="D18" s="5"/>
      <c r="E18" s="5"/>
      <c r="F18" s="5"/>
      <c r="G18" s="5"/>
      <c r="H18" s="5"/>
      <c r="I18" s="5"/>
      <c r="J18" s="5"/>
      <c r="K18" s="5"/>
      <c r="L18" s="5">
        <v>23</v>
      </c>
      <c r="M18" s="5" t="s">
        <v>129</v>
      </c>
      <c r="N18" s="5"/>
      <c r="O18" s="5">
        <v>61</v>
      </c>
      <c r="P18" s="5" t="s">
        <v>40</v>
      </c>
      <c r="Q18" s="5" t="s">
        <v>41</v>
      </c>
      <c r="R18" s="5" t="s">
        <v>130</v>
      </c>
      <c r="S18" s="5" t="s">
        <v>131</v>
      </c>
      <c r="T18" s="5"/>
      <c r="U18" s="5" t="s">
        <v>132</v>
      </c>
      <c r="V18" s="5" t="s">
        <v>133</v>
      </c>
      <c r="W18" s="5" t="s">
        <v>134</v>
      </c>
      <c r="X18" s="5" t="s">
        <v>59</v>
      </c>
      <c r="Y18" s="5">
        <v>4.0199999999999996</v>
      </c>
      <c r="Z18" s="5">
        <v>1.05</v>
      </c>
      <c r="AA18" s="5">
        <v>3.62</v>
      </c>
      <c r="AB18" s="5">
        <v>0.79</v>
      </c>
      <c r="AC18" s="5" t="s">
        <v>80</v>
      </c>
      <c r="AD18" s="8" t="s">
        <v>38</v>
      </c>
      <c r="AE18" s="5" t="s">
        <v>38</v>
      </c>
      <c r="AF18" s="8">
        <v>0.04</v>
      </c>
      <c r="AG18" s="4" t="s">
        <v>135</v>
      </c>
      <c r="AH18" s="5" t="s">
        <v>136</v>
      </c>
      <c r="AI18" s="5"/>
      <c r="AJ18" s="5"/>
      <c r="AK18" s="5"/>
      <c r="AL18" s="5"/>
      <c r="AM18" s="5"/>
      <c r="AN18" s="5"/>
    </row>
    <row r="19" spans="1:40" ht="89.25" x14ac:dyDescent="0.35">
      <c r="A19" s="5">
        <v>4</v>
      </c>
      <c r="B19" s="5" t="s">
        <v>128</v>
      </c>
      <c r="C19" s="5"/>
      <c r="D19" s="5"/>
      <c r="E19" s="5"/>
      <c r="F19" s="5"/>
      <c r="G19" s="5"/>
      <c r="H19" s="5"/>
      <c r="I19" s="5"/>
      <c r="J19" s="5"/>
      <c r="K19" s="5"/>
      <c r="L19" s="5">
        <v>23</v>
      </c>
      <c r="M19" s="5" t="s">
        <v>129</v>
      </c>
      <c r="N19" s="5"/>
      <c r="O19" s="5">
        <v>61</v>
      </c>
      <c r="P19" s="5" t="s">
        <v>40</v>
      </c>
      <c r="Q19" s="5" t="s">
        <v>41</v>
      </c>
      <c r="R19" s="5" t="s">
        <v>130</v>
      </c>
      <c r="S19" s="5" t="s">
        <v>131</v>
      </c>
      <c r="T19" s="5"/>
      <c r="U19" s="5" t="s">
        <v>137</v>
      </c>
      <c r="V19" s="5" t="s">
        <v>133</v>
      </c>
      <c r="W19" s="5" t="s">
        <v>134</v>
      </c>
      <c r="X19" s="5" t="s">
        <v>59</v>
      </c>
      <c r="Y19" s="5">
        <v>0.28000000000000003</v>
      </c>
      <c r="Z19" s="5">
        <v>0.7</v>
      </c>
      <c r="AA19" s="5">
        <v>-0.22</v>
      </c>
      <c r="AB19" s="5">
        <v>0.51</v>
      </c>
      <c r="AC19" s="5" t="s">
        <v>80</v>
      </c>
      <c r="AD19" s="8" t="s">
        <v>38</v>
      </c>
      <c r="AE19" s="5" t="s">
        <v>38</v>
      </c>
      <c r="AF19" s="8">
        <v>2.1999999999999999E-2</v>
      </c>
      <c r="AG19" s="4"/>
      <c r="AH19" s="5" t="s">
        <v>136</v>
      </c>
      <c r="AI19" s="5"/>
      <c r="AJ19" s="5"/>
      <c r="AK19" s="5"/>
      <c r="AL19" s="5"/>
      <c r="AM19" s="5"/>
      <c r="AN19" s="5"/>
    </row>
    <row r="20" spans="1:40" ht="409.5" x14ac:dyDescent="0.35">
      <c r="A20" s="5">
        <v>5</v>
      </c>
      <c r="B20" s="5" t="s">
        <v>138</v>
      </c>
      <c r="C20" s="5"/>
      <c r="D20" s="5"/>
      <c r="E20" s="5"/>
      <c r="F20" s="5"/>
      <c r="G20" s="5"/>
      <c r="H20" s="5"/>
      <c r="I20" s="5"/>
      <c r="J20" s="5"/>
      <c r="K20" s="5"/>
      <c r="L20" s="5">
        <v>19</v>
      </c>
      <c r="M20" s="5" t="s">
        <v>38</v>
      </c>
      <c r="N20" s="5" t="s">
        <v>139</v>
      </c>
      <c r="O20" s="5">
        <v>53</v>
      </c>
      <c r="P20" s="5" t="s">
        <v>40</v>
      </c>
      <c r="Q20" s="5" t="s">
        <v>41</v>
      </c>
      <c r="R20" s="5" t="s">
        <v>140</v>
      </c>
      <c r="S20" s="5" t="s">
        <v>141</v>
      </c>
      <c r="T20" s="5"/>
      <c r="U20" s="5" t="s">
        <v>142</v>
      </c>
      <c r="V20" s="5" t="s">
        <v>45</v>
      </c>
      <c r="W20" s="5" t="s">
        <v>143</v>
      </c>
      <c r="X20" s="5" t="s">
        <v>144</v>
      </c>
      <c r="Y20" s="5">
        <v>4.0999999999999996</v>
      </c>
      <c r="Z20" s="5">
        <v>0.6</v>
      </c>
      <c r="AA20" s="5">
        <v>3.5</v>
      </c>
      <c r="AB20" s="5">
        <v>0.6</v>
      </c>
      <c r="AC20" s="5" t="s">
        <v>145</v>
      </c>
      <c r="AD20" s="8">
        <v>1.2150000000000001</v>
      </c>
      <c r="AE20" s="5" t="s">
        <v>146</v>
      </c>
      <c r="AF20" s="8">
        <v>0.315</v>
      </c>
      <c r="AG20" s="4" t="s">
        <v>147</v>
      </c>
      <c r="AH20" s="5" t="s">
        <v>148</v>
      </c>
      <c r="AI20" s="5"/>
      <c r="AJ20" s="5"/>
      <c r="AK20" s="5"/>
      <c r="AL20" s="5"/>
      <c r="AM20" s="5"/>
      <c r="AN20" s="5"/>
    </row>
    <row r="21" spans="1:40" ht="114.75" x14ac:dyDescent="0.35">
      <c r="A21" s="5">
        <v>5</v>
      </c>
      <c r="B21" s="5" t="s">
        <v>138</v>
      </c>
      <c r="C21" s="5"/>
      <c r="D21" s="5"/>
      <c r="E21" s="5"/>
      <c r="F21" s="5"/>
      <c r="G21" s="5"/>
      <c r="H21" s="5"/>
      <c r="I21" s="5"/>
      <c r="J21" s="5"/>
      <c r="K21" s="5"/>
      <c r="L21" s="5">
        <v>12</v>
      </c>
      <c r="M21" s="5" t="s">
        <v>38</v>
      </c>
      <c r="N21" s="5" t="s">
        <v>139</v>
      </c>
      <c r="O21" s="5">
        <v>42</v>
      </c>
      <c r="P21" s="5" t="s">
        <v>40</v>
      </c>
      <c r="Q21" s="5" t="s">
        <v>149</v>
      </c>
      <c r="R21" s="5" t="s">
        <v>140</v>
      </c>
      <c r="S21" s="5" t="s">
        <v>141</v>
      </c>
      <c r="T21" s="5"/>
      <c r="U21" s="5" t="s">
        <v>150</v>
      </c>
      <c r="V21" s="5" t="s">
        <v>45</v>
      </c>
      <c r="W21" s="5" t="s">
        <v>143</v>
      </c>
      <c r="X21" s="5" t="s">
        <v>144</v>
      </c>
      <c r="Y21" s="5">
        <v>2.8</v>
      </c>
      <c r="Z21" s="5">
        <v>0.6</v>
      </c>
      <c r="AA21" s="5">
        <v>2.5</v>
      </c>
      <c r="AB21" s="5">
        <v>0.6</v>
      </c>
      <c r="AC21" s="5" t="s">
        <v>145</v>
      </c>
      <c r="AD21" s="8">
        <v>1.2150000000000001</v>
      </c>
      <c r="AE21" s="5" t="s">
        <v>146</v>
      </c>
      <c r="AF21" s="8">
        <v>0.315</v>
      </c>
      <c r="AG21" s="4"/>
      <c r="AH21" s="5" t="s">
        <v>148</v>
      </c>
      <c r="AI21" s="5"/>
      <c r="AJ21" s="5"/>
      <c r="AK21" s="5"/>
      <c r="AL21" s="5"/>
      <c r="AM21" s="5"/>
      <c r="AN21" s="5"/>
    </row>
    <row r="22" spans="1:40" ht="370.9" x14ac:dyDescent="0.35">
      <c r="A22" s="5">
        <v>6</v>
      </c>
      <c r="B22" s="5" t="s">
        <v>151</v>
      </c>
      <c r="C22" s="5"/>
      <c r="D22" s="5"/>
      <c r="E22" s="5"/>
      <c r="F22" s="5"/>
      <c r="G22" s="5"/>
      <c r="H22" s="5"/>
      <c r="I22" s="5"/>
      <c r="J22" s="5"/>
      <c r="K22" s="5"/>
      <c r="L22" s="5">
        <v>40</v>
      </c>
      <c r="M22" s="5" t="s">
        <v>152</v>
      </c>
      <c r="N22" s="5"/>
      <c r="O22" s="5">
        <v>52.5</v>
      </c>
      <c r="P22" s="5" t="s">
        <v>40</v>
      </c>
      <c r="Q22" s="5" t="s">
        <v>41</v>
      </c>
      <c r="R22" s="5" t="s">
        <v>153</v>
      </c>
      <c r="S22" s="5" t="s">
        <v>154</v>
      </c>
      <c r="T22" s="5" t="s">
        <v>155</v>
      </c>
      <c r="U22" s="5" t="s">
        <v>156</v>
      </c>
      <c r="V22" s="5" t="s">
        <v>157</v>
      </c>
      <c r="W22" s="5" t="s">
        <v>158</v>
      </c>
      <c r="X22" s="5" t="s">
        <v>144</v>
      </c>
      <c r="Y22" s="5">
        <v>12.27</v>
      </c>
      <c r="Z22" s="5">
        <v>15.11</v>
      </c>
      <c r="AA22" s="5"/>
      <c r="AB22" s="5"/>
      <c r="AC22" s="5" t="s">
        <v>159</v>
      </c>
      <c r="AD22" s="8">
        <v>5.13</v>
      </c>
      <c r="AE22" s="5" t="s">
        <v>38</v>
      </c>
      <c r="AF22" s="8">
        <v>1E-3</v>
      </c>
      <c r="AG22" s="4" t="s">
        <v>160</v>
      </c>
      <c r="AH22" s="5" t="s">
        <v>161</v>
      </c>
      <c r="AI22" s="5"/>
      <c r="AJ22" s="5"/>
      <c r="AK22" s="5"/>
      <c r="AL22" s="5"/>
      <c r="AM22" s="5"/>
      <c r="AN22" s="5"/>
    </row>
    <row r="23" spans="1:40" ht="127.5" x14ac:dyDescent="0.35">
      <c r="A23" s="5">
        <v>6</v>
      </c>
      <c r="B23" s="5" t="s">
        <v>151</v>
      </c>
      <c r="C23" s="5"/>
      <c r="D23" s="5"/>
      <c r="E23" s="5"/>
      <c r="F23" s="5"/>
      <c r="G23" s="5"/>
      <c r="H23" s="5"/>
      <c r="I23" s="5"/>
      <c r="J23" s="5"/>
      <c r="K23" s="5"/>
      <c r="L23" s="5">
        <v>40</v>
      </c>
      <c r="M23" s="5" t="s">
        <v>152</v>
      </c>
      <c r="N23" s="5"/>
      <c r="O23" s="5">
        <v>52.5</v>
      </c>
      <c r="P23" s="5" t="s">
        <v>40</v>
      </c>
      <c r="Q23" s="5" t="s">
        <v>41</v>
      </c>
      <c r="R23" s="5" t="s">
        <v>153</v>
      </c>
      <c r="S23" s="5" t="s">
        <v>154</v>
      </c>
      <c r="T23" s="5" t="s">
        <v>155</v>
      </c>
      <c r="U23" s="5" t="s">
        <v>162</v>
      </c>
      <c r="V23" s="5" t="s">
        <v>157</v>
      </c>
      <c r="W23" s="5" t="s">
        <v>158</v>
      </c>
      <c r="X23" s="5" t="s">
        <v>144</v>
      </c>
      <c r="Y23" s="5"/>
      <c r="Z23" s="5"/>
      <c r="AA23" s="5">
        <v>9.48</v>
      </c>
      <c r="AB23" s="5">
        <v>14.08</v>
      </c>
      <c r="AC23" s="5" t="s">
        <v>159</v>
      </c>
      <c r="AD23" s="8">
        <v>4.26</v>
      </c>
      <c r="AE23" s="5" t="s">
        <v>38</v>
      </c>
      <c r="AF23" s="8">
        <v>1E-3</v>
      </c>
      <c r="AG23" s="4"/>
      <c r="AH23" s="5"/>
      <c r="AI23" s="5"/>
      <c r="AJ23" s="5"/>
      <c r="AK23" s="5"/>
      <c r="AL23" s="5"/>
      <c r="AM23" s="5"/>
      <c r="AN23" s="5"/>
    </row>
    <row r="24" spans="1:40" ht="127.5" x14ac:dyDescent="0.35">
      <c r="A24" s="5">
        <v>6</v>
      </c>
      <c r="B24" s="5" t="s">
        <v>151</v>
      </c>
      <c r="C24" s="5"/>
      <c r="D24" s="5"/>
      <c r="E24" s="5"/>
      <c r="F24" s="5"/>
      <c r="G24" s="5"/>
      <c r="H24" s="5"/>
      <c r="I24" s="5"/>
      <c r="J24" s="5"/>
      <c r="K24" s="5"/>
      <c r="L24" s="5">
        <v>40</v>
      </c>
      <c r="M24" s="5" t="s">
        <v>152</v>
      </c>
      <c r="N24" s="5"/>
      <c r="O24" s="5">
        <v>52.5</v>
      </c>
      <c r="P24" s="5" t="s">
        <v>40</v>
      </c>
      <c r="Q24" s="5" t="s">
        <v>41</v>
      </c>
      <c r="R24" s="5" t="s">
        <v>153</v>
      </c>
      <c r="S24" s="5" t="s">
        <v>154</v>
      </c>
      <c r="T24" s="5" t="s">
        <v>155</v>
      </c>
      <c r="U24" s="5" t="s">
        <v>163</v>
      </c>
      <c r="V24" s="5" t="s">
        <v>157</v>
      </c>
      <c r="W24" s="5" t="s">
        <v>158</v>
      </c>
      <c r="X24" s="5" t="s">
        <v>144</v>
      </c>
      <c r="Y24" s="5">
        <v>12.27</v>
      </c>
      <c r="Z24" s="5">
        <v>15.11</v>
      </c>
      <c r="AA24" s="5">
        <v>9.48</v>
      </c>
      <c r="AB24" s="5">
        <v>14.08</v>
      </c>
      <c r="AC24" s="5" t="s">
        <v>164</v>
      </c>
      <c r="AD24" s="8" t="s">
        <v>38</v>
      </c>
      <c r="AE24" s="5" t="s">
        <v>38</v>
      </c>
      <c r="AF24" s="8" t="s">
        <v>38</v>
      </c>
      <c r="AG24" s="4"/>
      <c r="AH24" s="5"/>
      <c r="AI24" s="5"/>
      <c r="AJ24" s="5"/>
      <c r="AK24" s="5"/>
      <c r="AL24" s="5"/>
      <c r="AM24" s="5"/>
      <c r="AN24" s="5"/>
    </row>
    <row r="25" spans="1:40" ht="127.5" x14ac:dyDescent="0.35">
      <c r="A25" s="5">
        <v>6</v>
      </c>
      <c r="B25" s="5" t="s">
        <v>151</v>
      </c>
      <c r="C25" s="5"/>
      <c r="D25" s="5"/>
      <c r="E25" s="5"/>
      <c r="F25" s="5"/>
      <c r="G25" s="5"/>
      <c r="H25" s="5"/>
      <c r="I25" s="5"/>
      <c r="J25" s="5"/>
      <c r="K25" s="5"/>
      <c r="L25" s="5">
        <v>40</v>
      </c>
      <c r="M25" s="5" t="s">
        <v>152</v>
      </c>
      <c r="N25" s="5"/>
      <c r="O25" s="5">
        <v>52.5</v>
      </c>
      <c r="P25" s="5" t="s">
        <v>40</v>
      </c>
      <c r="Q25" s="5" t="s">
        <v>41</v>
      </c>
      <c r="R25" s="5" t="s">
        <v>165</v>
      </c>
      <c r="S25" s="5" t="s">
        <v>166</v>
      </c>
      <c r="T25" s="5" t="s">
        <v>167</v>
      </c>
      <c r="U25" s="5" t="s">
        <v>168</v>
      </c>
      <c r="V25" s="5" t="s">
        <v>169</v>
      </c>
      <c r="W25" s="5" t="s">
        <v>170</v>
      </c>
      <c r="X25" s="5" t="s">
        <v>171</v>
      </c>
      <c r="Y25" s="5">
        <v>9.57</v>
      </c>
      <c r="Z25" s="5">
        <v>3.52</v>
      </c>
      <c r="AA25" s="5">
        <v>9.3699999999999992</v>
      </c>
      <c r="AB25" s="5">
        <v>2.86</v>
      </c>
      <c r="AC25" s="5"/>
      <c r="AD25" s="8"/>
      <c r="AE25" s="5"/>
      <c r="AF25" s="8"/>
      <c r="AG25" s="4"/>
      <c r="AH25" s="5"/>
      <c r="AI25" s="5"/>
      <c r="AJ25" s="5"/>
      <c r="AK25" s="5"/>
      <c r="AL25" s="5"/>
      <c r="AM25" s="5"/>
      <c r="AN25" s="5"/>
    </row>
    <row r="26" spans="1:40" ht="295.14999999999998" x14ac:dyDescent="0.35">
      <c r="A26" s="5">
        <v>7</v>
      </c>
      <c r="B26" s="5" t="s">
        <v>172</v>
      </c>
      <c r="C26" s="5"/>
      <c r="D26" s="5"/>
      <c r="E26" s="5"/>
      <c r="F26" s="5"/>
      <c r="G26" s="5"/>
      <c r="H26" s="5"/>
      <c r="I26" s="5"/>
      <c r="J26" s="5"/>
      <c r="K26" s="5"/>
      <c r="L26" s="5">
        <v>20</v>
      </c>
      <c r="M26" s="5" t="s">
        <v>173</v>
      </c>
      <c r="N26" s="5"/>
      <c r="O26" s="5">
        <v>65</v>
      </c>
      <c r="P26" s="5" t="s">
        <v>174</v>
      </c>
      <c r="Q26" s="5" t="s">
        <v>41</v>
      </c>
      <c r="R26" s="5" t="s">
        <v>175</v>
      </c>
      <c r="S26" s="5" t="s">
        <v>176</v>
      </c>
      <c r="T26" s="5" t="s">
        <v>177</v>
      </c>
      <c r="U26" s="5" t="s">
        <v>178</v>
      </c>
      <c r="V26" s="5" t="s">
        <v>179</v>
      </c>
      <c r="W26" s="5" t="s">
        <v>180</v>
      </c>
      <c r="X26" s="5" t="s">
        <v>144</v>
      </c>
      <c r="Y26" s="5">
        <v>29.4</v>
      </c>
      <c r="Z26" s="5">
        <v>11.4</v>
      </c>
      <c r="AA26" s="5">
        <v>50</v>
      </c>
      <c r="AB26" s="5">
        <v>14.5</v>
      </c>
      <c r="AC26" s="5" t="s">
        <v>181</v>
      </c>
      <c r="AD26" s="8">
        <v>16.11</v>
      </c>
      <c r="AE26" s="5" t="s">
        <v>182</v>
      </c>
      <c r="AF26" s="8" t="s">
        <v>98</v>
      </c>
      <c r="AG26" s="4" t="s">
        <v>183</v>
      </c>
      <c r="AH26" s="5" t="s">
        <v>184</v>
      </c>
      <c r="AI26" s="5"/>
      <c r="AJ26" s="5"/>
      <c r="AK26" s="5"/>
      <c r="AL26" s="5"/>
      <c r="AM26" s="5"/>
      <c r="AN26" s="5"/>
    </row>
    <row r="27" spans="1:40" ht="102" x14ac:dyDescent="0.35">
      <c r="A27" s="5">
        <v>7</v>
      </c>
      <c r="B27" s="5" t="s">
        <v>172</v>
      </c>
      <c r="C27" s="5"/>
      <c r="D27" s="5"/>
      <c r="E27" s="5"/>
      <c r="F27" s="5"/>
      <c r="G27" s="5"/>
      <c r="H27" s="5"/>
      <c r="I27" s="5"/>
      <c r="J27" s="5"/>
      <c r="K27" s="5"/>
      <c r="L27" s="5">
        <v>20</v>
      </c>
      <c r="M27" s="5" t="s">
        <v>173</v>
      </c>
      <c r="N27" s="5"/>
      <c r="O27" s="5">
        <v>65</v>
      </c>
      <c r="P27" s="5" t="s">
        <v>174</v>
      </c>
      <c r="Q27" s="5" t="s">
        <v>41</v>
      </c>
      <c r="R27" s="5" t="s">
        <v>175</v>
      </c>
      <c r="S27" s="5" t="s">
        <v>176</v>
      </c>
      <c r="T27" s="5" t="s">
        <v>177</v>
      </c>
      <c r="U27" s="5" t="s">
        <v>185</v>
      </c>
      <c r="V27" s="5" t="s">
        <v>179</v>
      </c>
      <c r="W27" s="5" t="s">
        <v>180</v>
      </c>
      <c r="X27" s="5" t="s">
        <v>144</v>
      </c>
      <c r="Y27" s="5">
        <v>57</v>
      </c>
      <c r="Z27" s="5">
        <v>12.9</v>
      </c>
      <c r="AA27" s="5">
        <v>60.8</v>
      </c>
      <c r="AB27" s="5">
        <v>14.2</v>
      </c>
      <c r="AC27" s="5" t="s">
        <v>181</v>
      </c>
      <c r="AD27" s="8" t="s">
        <v>38</v>
      </c>
      <c r="AE27" s="5" t="s">
        <v>38</v>
      </c>
      <c r="AF27" s="8" t="s">
        <v>38</v>
      </c>
      <c r="AG27" s="4"/>
      <c r="AH27" s="5"/>
      <c r="AI27" s="5"/>
      <c r="AJ27" s="5"/>
      <c r="AK27" s="5"/>
      <c r="AL27" s="5"/>
      <c r="AM27" s="5"/>
      <c r="AN27" s="5"/>
    </row>
    <row r="28" spans="1:40" ht="102" x14ac:dyDescent="0.35">
      <c r="A28" s="5">
        <v>7</v>
      </c>
      <c r="B28" s="5" t="s">
        <v>172</v>
      </c>
      <c r="C28" s="5"/>
      <c r="D28" s="5"/>
      <c r="E28" s="5"/>
      <c r="F28" s="5"/>
      <c r="G28" s="5"/>
      <c r="H28" s="5"/>
      <c r="I28" s="5"/>
      <c r="J28" s="5"/>
      <c r="K28" s="5"/>
      <c r="L28" s="5">
        <v>20</v>
      </c>
      <c r="M28" s="5" t="s">
        <v>173</v>
      </c>
      <c r="N28" s="5"/>
      <c r="O28" s="5">
        <v>65</v>
      </c>
      <c r="P28" s="5" t="s">
        <v>174</v>
      </c>
      <c r="Q28" s="5" t="s">
        <v>41</v>
      </c>
      <c r="R28" s="5" t="s">
        <v>175</v>
      </c>
      <c r="S28" s="5" t="s">
        <v>176</v>
      </c>
      <c r="T28" s="5" t="s">
        <v>177</v>
      </c>
      <c r="U28" s="5" t="s">
        <v>186</v>
      </c>
      <c r="V28" s="5" t="s">
        <v>179</v>
      </c>
      <c r="W28" s="5" t="s">
        <v>180</v>
      </c>
      <c r="X28" s="5" t="s">
        <v>144</v>
      </c>
      <c r="Y28" s="5">
        <v>29.6</v>
      </c>
      <c r="Z28" s="5">
        <v>11.4</v>
      </c>
      <c r="AA28" s="5">
        <v>57</v>
      </c>
      <c r="AB28" s="5">
        <v>12.9</v>
      </c>
      <c r="AC28" s="5" t="s">
        <v>181</v>
      </c>
      <c r="AD28" s="8">
        <v>4.3</v>
      </c>
      <c r="AE28" s="5" t="s">
        <v>182</v>
      </c>
      <c r="AF28" s="8">
        <v>4.2000000000000003E-2</v>
      </c>
      <c r="AG28" s="4"/>
      <c r="AH28" s="5"/>
      <c r="AI28" s="5"/>
      <c r="AJ28" s="5"/>
      <c r="AK28" s="5"/>
      <c r="AL28" s="5"/>
      <c r="AM28" s="5"/>
      <c r="AN28" s="5"/>
    </row>
    <row r="29" spans="1:40" ht="102" x14ac:dyDescent="0.35">
      <c r="A29" s="5">
        <v>7</v>
      </c>
      <c r="B29" s="5" t="s">
        <v>172</v>
      </c>
      <c r="C29" s="5"/>
      <c r="D29" s="5"/>
      <c r="E29" s="5"/>
      <c r="F29" s="5"/>
      <c r="G29" s="5"/>
      <c r="H29" s="5"/>
      <c r="I29" s="5"/>
      <c r="J29" s="5"/>
      <c r="K29" s="5"/>
      <c r="L29" s="5">
        <v>20</v>
      </c>
      <c r="M29" s="5" t="s">
        <v>173</v>
      </c>
      <c r="N29" s="5"/>
      <c r="O29" s="5">
        <v>65</v>
      </c>
      <c r="P29" s="5" t="s">
        <v>174</v>
      </c>
      <c r="Q29" s="5" t="s">
        <v>41</v>
      </c>
      <c r="R29" s="5" t="s">
        <v>175</v>
      </c>
      <c r="S29" s="5" t="s">
        <v>176</v>
      </c>
      <c r="T29" s="5" t="s">
        <v>177</v>
      </c>
      <c r="U29" s="5" t="s">
        <v>187</v>
      </c>
      <c r="V29" s="5" t="s">
        <v>179</v>
      </c>
      <c r="W29" s="5" t="s">
        <v>180</v>
      </c>
      <c r="X29" s="5" t="s">
        <v>144</v>
      </c>
      <c r="Y29" s="5">
        <v>27.9</v>
      </c>
      <c r="Z29" s="5">
        <v>13.8</v>
      </c>
      <c r="AA29" s="5">
        <v>54.3</v>
      </c>
      <c r="AB29" s="5">
        <v>20.3</v>
      </c>
      <c r="AC29" s="5" t="s">
        <v>181</v>
      </c>
      <c r="AD29" s="8" t="s">
        <v>38</v>
      </c>
      <c r="AE29" s="5" t="s">
        <v>38</v>
      </c>
      <c r="AF29" s="8" t="s">
        <v>38</v>
      </c>
      <c r="AG29" s="4"/>
      <c r="AH29" s="5"/>
      <c r="AI29" s="5"/>
      <c r="AJ29" s="5"/>
      <c r="AK29" s="5"/>
      <c r="AL29" s="5"/>
      <c r="AM29" s="5"/>
      <c r="AN29" s="5"/>
    </row>
    <row r="30" spans="1:40" ht="102" x14ac:dyDescent="0.35">
      <c r="A30" s="5">
        <v>7</v>
      </c>
      <c r="B30" s="5" t="s">
        <v>172</v>
      </c>
      <c r="C30" s="5"/>
      <c r="D30" s="5"/>
      <c r="E30" s="5"/>
      <c r="F30" s="5"/>
      <c r="G30" s="5"/>
      <c r="H30" s="5"/>
      <c r="I30" s="5"/>
      <c r="J30" s="5"/>
      <c r="K30" s="5"/>
      <c r="L30" s="5">
        <v>20</v>
      </c>
      <c r="M30" s="5" t="s">
        <v>173</v>
      </c>
      <c r="N30" s="5"/>
      <c r="O30" s="5">
        <v>65</v>
      </c>
      <c r="P30" s="5" t="s">
        <v>174</v>
      </c>
      <c r="Q30" s="5" t="s">
        <v>41</v>
      </c>
      <c r="R30" s="5" t="s">
        <v>175</v>
      </c>
      <c r="S30" s="5" t="s">
        <v>176</v>
      </c>
      <c r="T30" s="5" t="s">
        <v>177</v>
      </c>
      <c r="U30" s="5" t="s">
        <v>188</v>
      </c>
      <c r="V30" s="5" t="s">
        <v>179</v>
      </c>
      <c r="W30" s="5" t="s">
        <v>180</v>
      </c>
      <c r="X30" s="5" t="s">
        <v>144</v>
      </c>
      <c r="Y30" s="5">
        <v>59.6</v>
      </c>
      <c r="Z30" s="5">
        <v>15.4</v>
      </c>
      <c r="AA30" s="5">
        <v>58.2</v>
      </c>
      <c r="AB30" s="5">
        <v>20</v>
      </c>
      <c r="AC30" s="5" t="s">
        <v>181</v>
      </c>
      <c r="AD30" s="8" t="s">
        <v>38</v>
      </c>
      <c r="AE30" s="5" t="s">
        <v>38</v>
      </c>
      <c r="AF30" s="8" t="s">
        <v>38</v>
      </c>
      <c r="AG30" s="4"/>
      <c r="AH30" s="5"/>
      <c r="AI30" s="5"/>
      <c r="AJ30" s="5"/>
      <c r="AK30" s="5"/>
      <c r="AL30" s="5"/>
      <c r="AM30" s="5"/>
      <c r="AN30" s="5"/>
    </row>
    <row r="31" spans="1:40" ht="102" x14ac:dyDescent="0.35">
      <c r="A31" s="5">
        <v>7</v>
      </c>
      <c r="B31" s="5" t="s">
        <v>172</v>
      </c>
      <c r="C31" s="5"/>
      <c r="D31" s="5"/>
      <c r="E31" s="5"/>
      <c r="F31" s="5"/>
      <c r="G31" s="5"/>
      <c r="H31" s="5"/>
      <c r="I31" s="5"/>
      <c r="J31" s="5"/>
      <c r="K31" s="5"/>
      <c r="L31" s="5">
        <v>20</v>
      </c>
      <c r="M31" s="5" t="s">
        <v>173</v>
      </c>
      <c r="N31" s="5"/>
      <c r="O31" s="5">
        <v>65</v>
      </c>
      <c r="P31" s="5" t="s">
        <v>174</v>
      </c>
      <c r="Q31" s="5" t="s">
        <v>41</v>
      </c>
      <c r="R31" s="5" t="s">
        <v>175</v>
      </c>
      <c r="S31" s="5" t="s">
        <v>176</v>
      </c>
      <c r="T31" s="5" t="s">
        <v>177</v>
      </c>
      <c r="U31" s="5" t="s">
        <v>189</v>
      </c>
      <c r="V31" s="5" t="s">
        <v>179</v>
      </c>
      <c r="W31" s="5" t="s">
        <v>180</v>
      </c>
      <c r="X31" s="5" t="s">
        <v>144</v>
      </c>
      <c r="Y31" s="5">
        <v>50</v>
      </c>
      <c r="Z31" s="5">
        <v>14.5</v>
      </c>
      <c r="AA31" s="5">
        <v>60.8</v>
      </c>
      <c r="AB31" s="5">
        <v>14.2</v>
      </c>
      <c r="AC31" s="5" t="s">
        <v>80</v>
      </c>
      <c r="AD31" s="8">
        <v>3.36</v>
      </c>
      <c r="AE31" s="5">
        <v>19</v>
      </c>
      <c r="AF31" s="8">
        <v>2E-3</v>
      </c>
      <c r="AG31" s="4"/>
      <c r="AH31" s="5"/>
      <c r="AI31" s="5"/>
      <c r="AJ31" s="5"/>
      <c r="AK31" s="5"/>
      <c r="AL31" s="5"/>
      <c r="AM31" s="5"/>
      <c r="AN31" s="5"/>
    </row>
    <row r="32" spans="1:40" ht="102" x14ac:dyDescent="0.35">
      <c r="A32" s="5">
        <v>7</v>
      </c>
      <c r="B32" s="5" t="s">
        <v>172</v>
      </c>
      <c r="C32" s="5"/>
      <c r="D32" s="5"/>
      <c r="E32" s="5"/>
      <c r="F32" s="5"/>
      <c r="G32" s="5"/>
      <c r="H32" s="5"/>
      <c r="I32" s="5"/>
      <c r="J32" s="5"/>
      <c r="K32" s="5"/>
      <c r="L32" s="5">
        <v>20</v>
      </c>
      <c r="M32" s="5" t="s">
        <v>173</v>
      </c>
      <c r="N32" s="5"/>
      <c r="O32" s="5">
        <v>65</v>
      </c>
      <c r="P32" s="5" t="s">
        <v>174</v>
      </c>
      <c r="Q32" s="5" t="s">
        <v>41</v>
      </c>
      <c r="R32" s="5" t="s">
        <v>175</v>
      </c>
      <c r="S32" s="5" t="s">
        <v>176</v>
      </c>
      <c r="T32" s="5" t="s">
        <v>177</v>
      </c>
      <c r="U32" s="5" t="s">
        <v>190</v>
      </c>
      <c r="V32" s="5" t="s">
        <v>179</v>
      </c>
      <c r="W32" s="5" t="s">
        <v>180</v>
      </c>
      <c r="X32" s="5" t="s">
        <v>144</v>
      </c>
      <c r="Y32" s="5">
        <v>56.3</v>
      </c>
      <c r="Z32" s="5">
        <v>9.9</v>
      </c>
      <c r="AA32" s="5">
        <v>50</v>
      </c>
      <c r="AB32" s="5">
        <v>14.5</v>
      </c>
      <c r="AC32" s="5" t="s">
        <v>80</v>
      </c>
      <c r="AD32" s="8">
        <v>1.96</v>
      </c>
      <c r="AE32" s="5">
        <v>19</v>
      </c>
      <c r="AF32" s="8">
        <v>6.6000000000000003E-2</v>
      </c>
      <c r="AG32" s="4"/>
      <c r="AH32" s="5"/>
      <c r="AI32" s="5"/>
      <c r="AJ32" s="5"/>
      <c r="AK32" s="5"/>
      <c r="AL32" s="5"/>
      <c r="AM32" s="5"/>
      <c r="AN32" s="5"/>
    </row>
    <row r="33" spans="1:40" ht="102" x14ac:dyDescent="0.35">
      <c r="A33" s="5">
        <v>7</v>
      </c>
      <c r="B33" s="5" t="s">
        <v>172</v>
      </c>
      <c r="C33" s="5"/>
      <c r="D33" s="5"/>
      <c r="E33" s="5"/>
      <c r="F33" s="5"/>
      <c r="G33" s="5"/>
      <c r="H33" s="5"/>
      <c r="I33" s="5"/>
      <c r="J33" s="5"/>
      <c r="K33" s="5"/>
      <c r="L33" s="5">
        <v>20</v>
      </c>
      <c r="M33" s="5" t="s">
        <v>173</v>
      </c>
      <c r="N33" s="5"/>
      <c r="O33" s="5">
        <v>65</v>
      </c>
      <c r="P33" s="5" t="s">
        <v>174</v>
      </c>
      <c r="Q33" s="5" t="s">
        <v>41</v>
      </c>
      <c r="R33" s="5" t="s">
        <v>175</v>
      </c>
      <c r="S33" s="5" t="s">
        <v>176</v>
      </c>
      <c r="T33" s="5" t="s">
        <v>191</v>
      </c>
      <c r="U33" s="5" t="s">
        <v>192</v>
      </c>
      <c r="V33" s="5" t="s">
        <v>193</v>
      </c>
      <c r="W33" s="5" t="s">
        <v>194</v>
      </c>
      <c r="X33" s="5" t="s">
        <v>195</v>
      </c>
      <c r="Y33" s="5">
        <v>46.6</v>
      </c>
      <c r="Z33" s="5">
        <v>13.9</v>
      </c>
      <c r="AA33" s="5">
        <v>51.3</v>
      </c>
      <c r="AB33" s="5">
        <v>17.100000000000001</v>
      </c>
      <c r="AC33" s="5" t="s">
        <v>38</v>
      </c>
      <c r="AD33" s="8" t="s">
        <v>38</v>
      </c>
      <c r="AE33" s="5" t="s">
        <v>38</v>
      </c>
      <c r="AF33" s="8" t="s">
        <v>38</v>
      </c>
      <c r="AG33" s="4"/>
      <c r="AH33" s="5"/>
      <c r="AI33" s="5"/>
      <c r="AJ33" s="5"/>
      <c r="AK33" s="5"/>
      <c r="AL33" s="5"/>
      <c r="AM33" s="5"/>
      <c r="AN33" s="5"/>
    </row>
    <row r="34" spans="1:40" ht="38.25" x14ac:dyDescent="0.35">
      <c r="A34" s="9">
        <v>8</v>
      </c>
      <c r="B34" s="9" t="s">
        <v>196</v>
      </c>
      <c r="C34" s="5"/>
      <c r="D34" s="5"/>
      <c r="E34" s="5"/>
      <c r="F34" s="5"/>
      <c r="G34" s="5"/>
      <c r="H34" s="5"/>
      <c r="I34" s="5"/>
      <c r="J34" s="5"/>
      <c r="K34" s="5"/>
      <c r="L34" s="5">
        <v>30</v>
      </c>
      <c r="M34" s="5" t="s">
        <v>197</v>
      </c>
      <c r="N34" s="5"/>
      <c r="O34" s="5" t="s">
        <v>198</v>
      </c>
      <c r="P34" s="5" t="s">
        <v>199</v>
      </c>
      <c r="Q34" s="5" t="s">
        <v>41</v>
      </c>
      <c r="R34" s="5" t="s">
        <v>200</v>
      </c>
      <c r="S34" s="5" t="s">
        <v>201</v>
      </c>
      <c r="T34" s="5" t="s">
        <v>202</v>
      </c>
      <c r="U34" s="5" t="s">
        <v>203</v>
      </c>
      <c r="V34" s="5" t="s">
        <v>204</v>
      </c>
      <c r="W34" s="5" t="s">
        <v>38</v>
      </c>
      <c r="X34" s="5" t="s">
        <v>205</v>
      </c>
      <c r="Y34" s="5" t="s">
        <v>206</v>
      </c>
      <c r="Z34" s="5" t="s">
        <v>207</v>
      </c>
      <c r="AA34" s="5" t="s">
        <v>208</v>
      </c>
      <c r="AB34" s="5" t="s">
        <v>209</v>
      </c>
      <c r="AC34" s="5" t="s">
        <v>80</v>
      </c>
      <c r="AD34" s="8" t="s">
        <v>210</v>
      </c>
      <c r="AE34" s="5">
        <v>29</v>
      </c>
      <c r="AF34" s="12">
        <v>5.0000000000000001E-3</v>
      </c>
      <c r="AG34" s="4"/>
      <c r="AH34" s="5"/>
      <c r="AI34" s="5" t="s">
        <v>211</v>
      </c>
      <c r="AJ34" s="5"/>
      <c r="AK34" s="5"/>
      <c r="AL34" s="5"/>
      <c r="AM34" s="5"/>
      <c r="AN34" s="5"/>
    </row>
    <row r="35" spans="1:40" ht="38.25" x14ac:dyDescent="0.35">
      <c r="A35" s="9">
        <v>8</v>
      </c>
      <c r="B35" s="9" t="s">
        <v>196</v>
      </c>
      <c r="C35" s="5"/>
      <c r="D35" s="5"/>
      <c r="E35" s="5"/>
      <c r="F35" s="5"/>
      <c r="G35" s="5"/>
      <c r="H35" s="5"/>
      <c r="I35" s="5"/>
      <c r="J35" s="5"/>
      <c r="K35" s="5"/>
      <c r="L35" s="5">
        <v>30</v>
      </c>
      <c r="M35" s="5" t="s">
        <v>197</v>
      </c>
      <c r="N35" s="5"/>
      <c r="O35" s="5" t="s">
        <v>198</v>
      </c>
      <c r="P35" s="5" t="s">
        <v>199</v>
      </c>
      <c r="Q35" s="5" t="s">
        <v>41</v>
      </c>
      <c r="R35" s="5" t="s">
        <v>200</v>
      </c>
      <c r="S35" s="5" t="s">
        <v>201</v>
      </c>
      <c r="T35" s="5" t="s">
        <v>202</v>
      </c>
      <c r="U35" s="5" t="s">
        <v>212</v>
      </c>
      <c r="V35" s="5" t="s">
        <v>204</v>
      </c>
      <c r="W35" s="5" t="s">
        <v>38</v>
      </c>
      <c r="X35" s="5" t="s">
        <v>205</v>
      </c>
      <c r="Y35" s="5" t="s">
        <v>213</v>
      </c>
      <c r="Z35" s="5" t="s">
        <v>214</v>
      </c>
      <c r="AA35" s="5" t="s">
        <v>215</v>
      </c>
      <c r="AB35" s="5" t="s">
        <v>216</v>
      </c>
      <c r="AC35" s="5" t="s">
        <v>217</v>
      </c>
      <c r="AD35" s="8">
        <v>149</v>
      </c>
      <c r="AE35" s="5" t="s">
        <v>38</v>
      </c>
      <c r="AF35" s="12">
        <v>5.0000000000000001E-3</v>
      </c>
      <c r="AG35" s="4"/>
      <c r="AH35" s="5"/>
      <c r="AI35" s="5" t="s">
        <v>218</v>
      </c>
      <c r="AJ35" s="5"/>
      <c r="AK35" s="5"/>
      <c r="AL35" s="5"/>
      <c r="AM35" s="5"/>
      <c r="AN35" s="5"/>
    </row>
    <row r="36" spans="1:40" ht="38.25" x14ac:dyDescent="0.35">
      <c r="A36" s="9">
        <v>8</v>
      </c>
      <c r="B36" s="9" t="s">
        <v>196</v>
      </c>
      <c r="C36" s="5"/>
      <c r="D36" s="5"/>
      <c r="E36" s="5"/>
      <c r="F36" s="5"/>
      <c r="G36" s="5"/>
      <c r="H36" s="5"/>
      <c r="I36" s="5"/>
      <c r="J36" s="5"/>
      <c r="K36" s="5"/>
      <c r="L36" s="5">
        <v>30</v>
      </c>
      <c r="M36" s="5" t="s">
        <v>219</v>
      </c>
      <c r="N36" s="5"/>
      <c r="O36" s="5" t="s">
        <v>198</v>
      </c>
      <c r="P36" s="5" t="s">
        <v>199</v>
      </c>
      <c r="Q36" s="5" t="s">
        <v>41</v>
      </c>
      <c r="R36" s="5" t="s">
        <v>200</v>
      </c>
      <c r="S36" s="5" t="s">
        <v>201</v>
      </c>
      <c r="T36" s="5" t="s">
        <v>202</v>
      </c>
      <c r="U36" s="5" t="s">
        <v>220</v>
      </c>
      <c r="V36" s="5" t="s">
        <v>204</v>
      </c>
      <c r="W36" s="5" t="s">
        <v>38</v>
      </c>
      <c r="X36" s="5" t="s">
        <v>205</v>
      </c>
      <c r="Y36" s="5" t="s">
        <v>221</v>
      </c>
      <c r="Z36" s="5" t="s">
        <v>222</v>
      </c>
      <c r="AA36" s="5" t="s">
        <v>223</v>
      </c>
      <c r="AB36" s="5" t="s">
        <v>224</v>
      </c>
      <c r="AC36" s="5" t="s">
        <v>80</v>
      </c>
      <c r="AD36" s="8" t="s">
        <v>225</v>
      </c>
      <c r="AE36" s="5">
        <v>29</v>
      </c>
      <c r="AF36" s="12">
        <v>1E-3</v>
      </c>
      <c r="AG36" s="4"/>
      <c r="AH36" s="5"/>
      <c r="AI36" s="5" t="s">
        <v>226</v>
      </c>
      <c r="AJ36" s="5"/>
      <c r="AK36" s="5"/>
      <c r="AL36" s="5"/>
      <c r="AM36" s="5"/>
      <c r="AN36" s="5"/>
    </row>
    <row r="37" spans="1:40" ht="38.25" x14ac:dyDescent="0.35">
      <c r="A37" s="9">
        <v>8</v>
      </c>
      <c r="B37" s="9" t="s">
        <v>196</v>
      </c>
      <c r="C37" s="5"/>
      <c r="D37" s="5"/>
      <c r="E37" s="5"/>
      <c r="F37" s="5"/>
      <c r="G37" s="5"/>
      <c r="H37" s="5"/>
      <c r="I37" s="5"/>
      <c r="J37" s="5"/>
      <c r="K37" s="5"/>
      <c r="L37" s="5">
        <v>30</v>
      </c>
      <c r="M37" s="5" t="s">
        <v>219</v>
      </c>
      <c r="N37" s="5"/>
      <c r="O37" s="5" t="s">
        <v>198</v>
      </c>
      <c r="P37" s="5" t="s">
        <v>199</v>
      </c>
      <c r="Q37" s="5" t="s">
        <v>41</v>
      </c>
      <c r="R37" s="5" t="s">
        <v>200</v>
      </c>
      <c r="S37" s="5" t="s">
        <v>201</v>
      </c>
      <c r="T37" s="5" t="s">
        <v>202</v>
      </c>
      <c r="U37" s="5" t="s">
        <v>227</v>
      </c>
      <c r="V37" s="5" t="s">
        <v>204</v>
      </c>
      <c r="W37" s="5" t="s">
        <v>38</v>
      </c>
      <c r="X37" s="5" t="s">
        <v>205</v>
      </c>
      <c r="Y37" s="5" t="s">
        <v>228</v>
      </c>
      <c r="Z37" s="5" t="s">
        <v>229</v>
      </c>
      <c r="AA37" s="5">
        <v>-2</v>
      </c>
      <c r="AB37" s="5" t="s">
        <v>230</v>
      </c>
      <c r="AC37" s="5" t="s">
        <v>217</v>
      </c>
      <c r="AD37" s="8">
        <v>186</v>
      </c>
      <c r="AE37" s="5" t="s">
        <v>38</v>
      </c>
      <c r="AF37" s="13" t="s">
        <v>98</v>
      </c>
      <c r="AG37" s="4"/>
      <c r="AH37" s="5"/>
      <c r="AI37" s="5" t="s">
        <v>231</v>
      </c>
      <c r="AJ37" s="5"/>
      <c r="AK37" s="5"/>
      <c r="AL37" s="5"/>
      <c r="AM37" s="5"/>
      <c r="AN37" s="5"/>
    </row>
    <row r="38" spans="1:40" ht="38.25" x14ac:dyDescent="0.35">
      <c r="A38" s="9">
        <v>8</v>
      </c>
      <c r="B38" s="9" t="s">
        <v>196</v>
      </c>
      <c r="C38" s="5"/>
      <c r="D38" s="5"/>
      <c r="E38" s="5"/>
      <c r="F38" s="5"/>
      <c r="G38" s="5"/>
      <c r="H38" s="5"/>
      <c r="I38" s="5"/>
      <c r="J38" s="5"/>
      <c r="K38" s="5"/>
      <c r="L38" s="5">
        <v>30</v>
      </c>
      <c r="M38" s="5" t="s">
        <v>232</v>
      </c>
      <c r="N38" s="5"/>
      <c r="O38" s="5" t="s">
        <v>233</v>
      </c>
      <c r="P38" s="5" t="s">
        <v>199</v>
      </c>
      <c r="Q38" s="5" t="s">
        <v>41</v>
      </c>
      <c r="R38" s="5" t="s">
        <v>200</v>
      </c>
      <c r="S38" s="5" t="s">
        <v>201</v>
      </c>
      <c r="T38" s="5" t="s">
        <v>202</v>
      </c>
      <c r="U38" s="5" t="s">
        <v>234</v>
      </c>
      <c r="V38" s="5" t="s">
        <v>204</v>
      </c>
      <c r="W38" s="5" t="s">
        <v>38</v>
      </c>
      <c r="X38" s="5" t="s">
        <v>205</v>
      </c>
      <c r="Y38" s="5" t="s">
        <v>92</v>
      </c>
      <c r="Z38" s="5" t="s">
        <v>235</v>
      </c>
      <c r="AA38" s="5" t="s">
        <v>236</v>
      </c>
      <c r="AB38" s="5" t="s">
        <v>237</v>
      </c>
      <c r="AC38" s="5" t="s">
        <v>217</v>
      </c>
      <c r="AD38" s="8">
        <v>149</v>
      </c>
      <c r="AE38" s="5" t="s">
        <v>38</v>
      </c>
      <c r="AF38" s="12">
        <v>1E-3</v>
      </c>
      <c r="AG38" s="4"/>
      <c r="AH38" s="5"/>
      <c r="AI38" s="5" t="s">
        <v>238</v>
      </c>
      <c r="AJ38" s="5"/>
      <c r="AK38" s="5"/>
      <c r="AL38" s="5"/>
      <c r="AM38" s="5"/>
      <c r="AN38" s="5"/>
    </row>
    <row r="39" spans="1:40" ht="38.25" x14ac:dyDescent="0.35">
      <c r="A39" s="9">
        <v>8</v>
      </c>
      <c r="B39" s="9" t="s">
        <v>196</v>
      </c>
      <c r="C39" s="5"/>
      <c r="D39" s="5"/>
      <c r="E39" s="5"/>
      <c r="F39" s="5"/>
      <c r="G39" s="5"/>
      <c r="H39" s="5"/>
      <c r="I39" s="5"/>
      <c r="J39" s="5"/>
      <c r="K39" s="5"/>
      <c r="L39" s="5">
        <v>30</v>
      </c>
      <c r="M39" s="5" t="s">
        <v>232</v>
      </c>
      <c r="N39" s="5"/>
      <c r="O39" s="5" t="s">
        <v>233</v>
      </c>
      <c r="P39" s="5" t="s">
        <v>199</v>
      </c>
      <c r="Q39" s="5" t="s">
        <v>41</v>
      </c>
      <c r="R39" s="5" t="s">
        <v>200</v>
      </c>
      <c r="S39" s="5" t="s">
        <v>201</v>
      </c>
      <c r="T39" s="5" t="s">
        <v>202</v>
      </c>
      <c r="U39" s="5" t="s">
        <v>239</v>
      </c>
      <c r="V39" s="5" t="s">
        <v>204</v>
      </c>
      <c r="W39" s="5" t="s">
        <v>38</v>
      </c>
      <c r="X39" s="5" t="s">
        <v>205</v>
      </c>
      <c r="Y39" s="5" t="s">
        <v>240</v>
      </c>
      <c r="Z39" s="5" t="s">
        <v>241</v>
      </c>
      <c r="AA39" s="5" t="s">
        <v>242</v>
      </c>
      <c r="AB39" s="5" t="s">
        <v>243</v>
      </c>
      <c r="AC39" s="5" t="s">
        <v>217</v>
      </c>
      <c r="AD39" s="8">
        <v>201</v>
      </c>
      <c r="AE39" s="5" t="s">
        <v>38</v>
      </c>
      <c r="AF39" s="12">
        <v>3.0000000000000001E-3</v>
      </c>
      <c r="AG39" s="4"/>
      <c r="AH39" s="5"/>
      <c r="AI39" s="5" t="s">
        <v>218</v>
      </c>
      <c r="AJ39" s="5"/>
      <c r="AK39" s="5"/>
      <c r="AL39" s="5"/>
      <c r="AM39" s="5"/>
      <c r="AN39" s="5"/>
    </row>
    <row r="40" spans="1:40" ht="38.25" x14ac:dyDescent="0.35">
      <c r="A40" s="9">
        <v>8</v>
      </c>
      <c r="B40" s="9" t="s">
        <v>196</v>
      </c>
      <c r="C40" s="5"/>
      <c r="D40" s="5"/>
      <c r="E40" s="5"/>
      <c r="F40" s="5"/>
      <c r="G40" s="5"/>
      <c r="H40" s="5"/>
      <c r="I40" s="5"/>
      <c r="J40" s="5"/>
      <c r="K40" s="5"/>
      <c r="L40" s="5">
        <v>30</v>
      </c>
      <c r="M40" s="5" t="s">
        <v>232</v>
      </c>
      <c r="N40" s="5"/>
      <c r="O40" s="5" t="s">
        <v>233</v>
      </c>
      <c r="P40" s="5" t="s">
        <v>199</v>
      </c>
      <c r="Q40" s="5" t="s">
        <v>41</v>
      </c>
      <c r="R40" s="5" t="s">
        <v>200</v>
      </c>
      <c r="S40" s="5" t="s">
        <v>201</v>
      </c>
      <c r="T40" s="5" t="s">
        <v>202</v>
      </c>
      <c r="U40" s="5" t="s">
        <v>244</v>
      </c>
      <c r="V40" s="5" t="s">
        <v>204</v>
      </c>
      <c r="W40" s="5" t="s">
        <v>38</v>
      </c>
      <c r="X40" s="5" t="s">
        <v>205</v>
      </c>
      <c r="Y40" s="5" t="s">
        <v>92</v>
      </c>
      <c r="Z40" s="5" t="s">
        <v>235</v>
      </c>
      <c r="AA40" s="5" t="s">
        <v>245</v>
      </c>
      <c r="AB40" s="5" t="s">
        <v>246</v>
      </c>
      <c r="AC40" s="5" t="s">
        <v>217</v>
      </c>
      <c r="AD40" s="8">
        <v>86</v>
      </c>
      <c r="AE40" s="5" t="s">
        <v>38</v>
      </c>
      <c r="AF40" s="12">
        <v>0.98199999999999998</v>
      </c>
      <c r="AG40" s="4"/>
      <c r="AH40" s="5"/>
      <c r="AI40" s="5" t="s">
        <v>247</v>
      </c>
      <c r="AJ40" s="5"/>
      <c r="AK40" s="5"/>
      <c r="AL40" s="5"/>
      <c r="AM40" s="5"/>
      <c r="AN40" s="5"/>
    </row>
    <row r="41" spans="1:40" ht="38.25" x14ac:dyDescent="0.35">
      <c r="A41" s="9">
        <v>8</v>
      </c>
      <c r="B41" s="9" t="s">
        <v>196</v>
      </c>
      <c r="C41" s="5"/>
      <c r="D41" s="5"/>
      <c r="E41" s="5"/>
      <c r="F41" s="5"/>
      <c r="G41" s="5"/>
      <c r="H41" s="5"/>
      <c r="I41" s="5"/>
      <c r="J41" s="5"/>
      <c r="K41" s="5"/>
      <c r="L41" s="5">
        <v>30</v>
      </c>
      <c r="M41" s="5" t="s">
        <v>232</v>
      </c>
      <c r="N41" s="5"/>
      <c r="O41" s="5" t="s">
        <v>233</v>
      </c>
      <c r="P41" s="5" t="s">
        <v>199</v>
      </c>
      <c r="Q41" s="5" t="s">
        <v>41</v>
      </c>
      <c r="R41" s="5" t="s">
        <v>200</v>
      </c>
      <c r="S41" s="5" t="s">
        <v>201</v>
      </c>
      <c r="T41" s="5" t="s">
        <v>202</v>
      </c>
      <c r="U41" s="5" t="s">
        <v>248</v>
      </c>
      <c r="V41" s="5" t="s">
        <v>204</v>
      </c>
      <c r="W41" s="5" t="s">
        <v>38</v>
      </c>
      <c r="X41" s="5" t="s">
        <v>205</v>
      </c>
      <c r="Y41" s="5" t="s">
        <v>240</v>
      </c>
      <c r="Z41" s="5" t="s">
        <v>241</v>
      </c>
      <c r="AA41" s="5" t="s">
        <v>249</v>
      </c>
      <c r="AB41" s="5" t="s">
        <v>222</v>
      </c>
      <c r="AC41" s="5" t="s">
        <v>217</v>
      </c>
      <c r="AD41" s="8" t="s">
        <v>250</v>
      </c>
      <c r="AE41" s="5" t="s">
        <v>38</v>
      </c>
      <c r="AF41" s="12">
        <v>0.67100000000000004</v>
      </c>
      <c r="AG41" s="4"/>
      <c r="AH41" s="5"/>
      <c r="AI41" s="5" t="s">
        <v>251</v>
      </c>
      <c r="AJ41" s="5"/>
      <c r="AK41" s="5"/>
      <c r="AL41" s="5"/>
      <c r="AM41" s="5"/>
      <c r="AN41" s="5"/>
    </row>
    <row r="42" spans="1:40" ht="38.25" x14ac:dyDescent="0.35">
      <c r="A42" s="9">
        <v>8</v>
      </c>
      <c r="B42" s="9" t="s">
        <v>196</v>
      </c>
      <c r="C42" s="5"/>
      <c r="D42" s="5"/>
      <c r="E42" s="5"/>
      <c r="F42" s="5"/>
      <c r="G42" s="5"/>
      <c r="H42" s="5"/>
      <c r="I42" s="5"/>
      <c r="J42" s="5"/>
      <c r="K42" s="5"/>
      <c r="L42" s="5">
        <v>30</v>
      </c>
      <c r="M42" s="5" t="s">
        <v>232</v>
      </c>
      <c r="N42" s="5"/>
      <c r="O42" s="5" t="s">
        <v>233</v>
      </c>
      <c r="P42" s="5" t="s">
        <v>199</v>
      </c>
      <c r="Q42" s="5" t="s">
        <v>41</v>
      </c>
      <c r="R42" s="5" t="s">
        <v>200</v>
      </c>
      <c r="S42" s="5" t="s">
        <v>201</v>
      </c>
      <c r="T42" s="5" t="s">
        <v>202</v>
      </c>
      <c r="U42" s="5" t="s">
        <v>252</v>
      </c>
      <c r="V42" s="5" t="s">
        <v>204</v>
      </c>
      <c r="W42" s="5" t="s">
        <v>38</v>
      </c>
      <c r="X42" s="5" t="s">
        <v>205</v>
      </c>
      <c r="Y42" s="5" t="s">
        <v>92</v>
      </c>
      <c r="Z42" s="5" t="s">
        <v>235</v>
      </c>
      <c r="AA42" s="5" t="s">
        <v>253</v>
      </c>
      <c r="AB42" s="5" t="s">
        <v>254</v>
      </c>
      <c r="AC42" s="5" t="s">
        <v>80</v>
      </c>
      <c r="AD42" s="8" t="s">
        <v>255</v>
      </c>
      <c r="AE42" s="5" t="s">
        <v>38</v>
      </c>
      <c r="AF42" s="12">
        <v>0.17100000000000001</v>
      </c>
      <c r="AG42" s="4"/>
      <c r="AH42" s="5"/>
      <c r="AI42" s="5" t="s">
        <v>256</v>
      </c>
      <c r="AJ42" s="5"/>
      <c r="AK42" s="5"/>
      <c r="AL42" s="5"/>
      <c r="AM42" s="5"/>
      <c r="AN42" s="5"/>
    </row>
    <row r="43" spans="1:40" ht="38.25" x14ac:dyDescent="0.35">
      <c r="A43" s="9">
        <v>8</v>
      </c>
      <c r="B43" s="9" t="s">
        <v>196</v>
      </c>
      <c r="C43" s="5"/>
      <c r="D43" s="5"/>
      <c r="E43" s="5"/>
      <c r="F43" s="5"/>
      <c r="G43" s="5"/>
      <c r="H43" s="5"/>
      <c r="I43" s="5"/>
      <c r="J43" s="5"/>
      <c r="K43" s="5"/>
      <c r="L43" s="5">
        <v>30</v>
      </c>
      <c r="M43" s="5" t="s">
        <v>232</v>
      </c>
      <c r="N43" s="5"/>
      <c r="O43" s="5" t="s">
        <v>233</v>
      </c>
      <c r="P43" s="5" t="s">
        <v>199</v>
      </c>
      <c r="Q43" s="5" t="s">
        <v>41</v>
      </c>
      <c r="R43" s="5" t="s">
        <v>200</v>
      </c>
      <c r="S43" s="5" t="s">
        <v>201</v>
      </c>
      <c r="T43" s="5" t="s">
        <v>202</v>
      </c>
      <c r="U43" s="5" t="s">
        <v>257</v>
      </c>
      <c r="V43" s="5" t="s">
        <v>204</v>
      </c>
      <c r="W43" s="5" t="s">
        <v>38</v>
      </c>
      <c r="X43" s="5" t="s">
        <v>205</v>
      </c>
      <c r="Y43" s="5" t="s">
        <v>240</v>
      </c>
      <c r="Z43" s="5" t="s">
        <v>241</v>
      </c>
      <c r="AA43" s="5" t="s">
        <v>253</v>
      </c>
      <c r="AB43" s="5" t="s">
        <v>258</v>
      </c>
      <c r="AC43" s="5" t="s">
        <v>217</v>
      </c>
      <c r="AD43" s="8" t="s">
        <v>259</v>
      </c>
      <c r="AE43" s="5" t="s">
        <v>38</v>
      </c>
      <c r="AF43" s="12">
        <v>0.182</v>
      </c>
      <c r="AG43" s="4"/>
      <c r="AH43" s="5"/>
      <c r="AI43" s="5" t="s">
        <v>260</v>
      </c>
      <c r="AJ43" s="5"/>
      <c r="AK43" s="5"/>
      <c r="AL43" s="5"/>
      <c r="AM43" s="5"/>
      <c r="AN43" s="5"/>
    </row>
    <row r="44" spans="1:40" ht="307.89999999999998" x14ac:dyDescent="0.35">
      <c r="A44" s="5">
        <v>9</v>
      </c>
      <c r="B44" s="9" t="s">
        <v>261</v>
      </c>
      <c r="C44" s="5"/>
      <c r="D44" s="5"/>
      <c r="E44" s="5"/>
      <c r="F44" s="5"/>
      <c r="G44" s="5"/>
      <c r="H44" s="5"/>
      <c r="I44" s="5"/>
      <c r="J44" s="5"/>
      <c r="K44" s="5"/>
      <c r="L44" s="5">
        <v>34</v>
      </c>
      <c r="M44" s="5" t="s">
        <v>262</v>
      </c>
      <c r="N44" s="5"/>
      <c r="O44" s="5">
        <v>73.52</v>
      </c>
      <c r="P44" s="5" t="s">
        <v>263</v>
      </c>
      <c r="Q44" s="5" t="s">
        <v>41</v>
      </c>
      <c r="R44" s="5" t="s">
        <v>264</v>
      </c>
      <c r="S44" s="5" t="s">
        <v>265</v>
      </c>
      <c r="T44" s="5" t="s">
        <v>266</v>
      </c>
      <c r="U44" s="5" t="s">
        <v>267</v>
      </c>
      <c r="V44" s="5" t="s">
        <v>268</v>
      </c>
      <c r="W44" s="5" t="s">
        <v>269</v>
      </c>
      <c r="X44" s="5" t="s">
        <v>144</v>
      </c>
      <c r="Y44" s="5">
        <v>4.3600000000000003</v>
      </c>
      <c r="Z44" s="5">
        <v>2.2200000000000002</v>
      </c>
      <c r="AA44" s="5">
        <v>4.95</v>
      </c>
      <c r="AB44" s="5">
        <v>2.0499999999999998</v>
      </c>
      <c r="AC44" s="5" t="s">
        <v>80</v>
      </c>
      <c r="AD44" s="8" t="s">
        <v>38</v>
      </c>
      <c r="AE44" s="5" t="s">
        <v>38</v>
      </c>
      <c r="AF44" s="8">
        <v>1.0999999999999999E-2</v>
      </c>
      <c r="AG44" s="4" t="s">
        <v>270</v>
      </c>
      <c r="AH44" s="5" t="s">
        <v>271</v>
      </c>
      <c r="AI44" s="5"/>
      <c r="AJ44" s="5"/>
      <c r="AK44" s="5"/>
      <c r="AL44" s="5"/>
      <c r="AM44" s="5"/>
      <c r="AN44" s="5"/>
    </row>
    <row r="45" spans="1:40" ht="114.75" x14ac:dyDescent="0.35">
      <c r="A45" s="5">
        <v>9</v>
      </c>
      <c r="B45" s="9" t="s">
        <v>261</v>
      </c>
      <c r="C45" s="5"/>
      <c r="D45" s="5"/>
      <c r="E45" s="5"/>
      <c r="F45" s="5"/>
      <c r="G45" s="5"/>
      <c r="H45" s="5"/>
      <c r="I45" s="5"/>
      <c r="J45" s="5"/>
      <c r="K45" s="5"/>
      <c r="L45" s="5">
        <v>34</v>
      </c>
      <c r="M45" s="5" t="s">
        <v>262</v>
      </c>
      <c r="N45" s="5"/>
      <c r="O45" s="5">
        <v>73.52</v>
      </c>
      <c r="P45" s="5" t="s">
        <v>263</v>
      </c>
      <c r="Q45" s="5" t="s">
        <v>41</v>
      </c>
      <c r="R45" s="5" t="s">
        <v>264</v>
      </c>
      <c r="S45" s="5" t="s">
        <v>265</v>
      </c>
      <c r="T45" s="5" t="s">
        <v>266</v>
      </c>
      <c r="U45" s="5" t="s">
        <v>272</v>
      </c>
      <c r="V45" s="5" t="s">
        <v>273</v>
      </c>
      <c r="W45" s="5" t="s">
        <v>274</v>
      </c>
      <c r="X45" s="5" t="s">
        <v>275</v>
      </c>
      <c r="Y45" s="5">
        <v>5.26</v>
      </c>
      <c r="Z45" s="5">
        <v>2.68</v>
      </c>
      <c r="AA45" s="5">
        <v>2</v>
      </c>
      <c r="AB45" s="5">
        <v>2.4</v>
      </c>
      <c r="AC45" s="5" t="s">
        <v>80</v>
      </c>
      <c r="AD45" s="8" t="s">
        <v>38</v>
      </c>
      <c r="AE45" s="5" t="s">
        <v>38</v>
      </c>
      <c r="AF45" s="8" t="s">
        <v>276</v>
      </c>
      <c r="AG45" s="4"/>
      <c r="AH45" s="5"/>
      <c r="AI45" s="5"/>
      <c r="AJ45" s="5"/>
      <c r="AK45" s="5"/>
      <c r="AL45" s="5"/>
      <c r="AM45" s="5"/>
      <c r="AN45" s="5"/>
    </row>
    <row r="46" spans="1:40" ht="396.4" x14ac:dyDescent="0.35">
      <c r="A46" s="5">
        <v>10</v>
      </c>
      <c r="B46" s="9" t="s">
        <v>277</v>
      </c>
      <c r="C46" s="5"/>
      <c r="D46" s="5"/>
      <c r="E46" s="5"/>
      <c r="F46" s="5"/>
      <c r="G46" s="5"/>
      <c r="H46" s="5"/>
      <c r="I46" s="5"/>
      <c r="J46" s="5"/>
      <c r="K46" s="5"/>
      <c r="L46" s="5">
        <v>21</v>
      </c>
      <c r="M46" s="5">
        <v>24.9</v>
      </c>
      <c r="N46" s="5" t="s">
        <v>278</v>
      </c>
      <c r="O46" s="5">
        <v>47.61</v>
      </c>
      <c r="P46" s="5" t="s">
        <v>279</v>
      </c>
      <c r="Q46" s="5" t="s">
        <v>41</v>
      </c>
      <c r="R46" s="5" t="s">
        <v>280</v>
      </c>
      <c r="S46" s="5" t="s">
        <v>281</v>
      </c>
      <c r="T46" s="5" t="s">
        <v>282</v>
      </c>
      <c r="U46" s="5" t="s">
        <v>267</v>
      </c>
      <c r="V46" s="5" t="s">
        <v>268</v>
      </c>
      <c r="W46" s="5" t="s">
        <v>283</v>
      </c>
      <c r="X46" s="5" t="s">
        <v>144</v>
      </c>
      <c r="Y46" s="5">
        <v>58.85</v>
      </c>
      <c r="Z46" s="5">
        <v>16.72</v>
      </c>
      <c r="AA46" s="5">
        <v>54.59</v>
      </c>
      <c r="AB46" s="5">
        <v>19.489999999999998</v>
      </c>
      <c r="AC46" s="5" t="s">
        <v>80</v>
      </c>
      <c r="AD46" s="8" t="s">
        <v>38</v>
      </c>
      <c r="AE46" s="5" t="s">
        <v>38</v>
      </c>
      <c r="AF46" s="8" t="s">
        <v>38</v>
      </c>
      <c r="AG46" s="4" t="s">
        <v>284</v>
      </c>
      <c r="AH46" s="5" t="s">
        <v>285</v>
      </c>
      <c r="AI46" s="5"/>
      <c r="AJ46" s="5"/>
      <c r="AK46" s="5"/>
      <c r="AL46" s="5"/>
      <c r="AM46" s="5"/>
      <c r="AN46" s="5"/>
    </row>
    <row r="47" spans="1:40" ht="178.5" x14ac:dyDescent="0.35">
      <c r="A47" s="5">
        <v>10</v>
      </c>
      <c r="B47" s="9" t="s">
        <v>277</v>
      </c>
      <c r="C47" s="5"/>
      <c r="D47" s="5"/>
      <c r="E47" s="5"/>
      <c r="F47" s="5"/>
      <c r="G47" s="5"/>
      <c r="H47" s="5"/>
      <c r="I47" s="5"/>
      <c r="J47" s="5"/>
      <c r="K47" s="5"/>
      <c r="L47" s="5">
        <v>21</v>
      </c>
      <c r="M47" s="5">
        <v>24.9</v>
      </c>
      <c r="N47" s="5" t="s">
        <v>278</v>
      </c>
      <c r="O47" s="5">
        <v>47.61</v>
      </c>
      <c r="P47" s="5" t="s">
        <v>279</v>
      </c>
      <c r="Q47" s="5" t="s">
        <v>41</v>
      </c>
      <c r="R47" s="5" t="s">
        <v>280</v>
      </c>
      <c r="S47" s="5" t="s">
        <v>281</v>
      </c>
      <c r="T47" s="5" t="s">
        <v>282</v>
      </c>
      <c r="U47" s="5" t="s">
        <v>286</v>
      </c>
      <c r="V47" s="5" t="s">
        <v>287</v>
      </c>
      <c r="W47" s="5" t="s">
        <v>38</v>
      </c>
      <c r="X47" s="5" t="s">
        <v>288</v>
      </c>
      <c r="Y47" s="5">
        <v>2.77</v>
      </c>
      <c r="Z47" s="5">
        <v>3.59</v>
      </c>
      <c r="AA47" s="5">
        <v>1.69</v>
      </c>
      <c r="AB47" s="5">
        <v>2.79</v>
      </c>
      <c r="AC47" s="5" t="s">
        <v>80</v>
      </c>
      <c r="AD47" s="8" t="s">
        <v>38</v>
      </c>
      <c r="AE47" s="5" t="s">
        <v>38</v>
      </c>
      <c r="AF47" s="8" t="s">
        <v>38</v>
      </c>
      <c r="AG47" s="4"/>
      <c r="AH47" s="5" t="s">
        <v>285</v>
      </c>
      <c r="AI47" s="5"/>
      <c r="AJ47" s="5"/>
      <c r="AK47" s="5"/>
      <c r="AL47" s="5"/>
      <c r="AM47" s="5"/>
      <c r="AN47" s="5"/>
    </row>
    <row r="48" spans="1:40" ht="140.25" x14ac:dyDescent="0.35">
      <c r="A48" s="5">
        <v>10</v>
      </c>
      <c r="B48" s="9" t="s">
        <v>277</v>
      </c>
      <c r="C48" s="5"/>
      <c r="D48" s="5"/>
      <c r="E48" s="5"/>
      <c r="F48" s="5"/>
      <c r="G48" s="5"/>
      <c r="H48" s="5"/>
      <c r="I48" s="5"/>
      <c r="J48" s="5"/>
      <c r="K48" s="5"/>
      <c r="L48" s="5">
        <v>21</v>
      </c>
      <c r="M48" s="5">
        <v>24.9</v>
      </c>
      <c r="N48" s="5" t="s">
        <v>278</v>
      </c>
      <c r="O48" s="5">
        <v>47.61</v>
      </c>
      <c r="P48" s="5" t="s">
        <v>279</v>
      </c>
      <c r="Q48" s="5" t="s">
        <v>41</v>
      </c>
      <c r="R48" s="5" t="s">
        <v>280</v>
      </c>
      <c r="S48" s="5" t="s">
        <v>281</v>
      </c>
      <c r="T48" s="5" t="s">
        <v>282</v>
      </c>
      <c r="U48" s="5" t="s">
        <v>289</v>
      </c>
      <c r="V48" s="5" t="s">
        <v>290</v>
      </c>
      <c r="W48" s="5" t="s">
        <v>291</v>
      </c>
      <c r="X48" s="5" t="s">
        <v>275</v>
      </c>
      <c r="Y48" s="5">
        <v>0.71</v>
      </c>
      <c r="Z48" s="5">
        <v>1.87</v>
      </c>
      <c r="AA48" s="5">
        <v>-2.31</v>
      </c>
      <c r="AB48" s="5">
        <v>0.79</v>
      </c>
      <c r="AC48" s="5" t="s">
        <v>80</v>
      </c>
      <c r="AD48" s="8" t="s">
        <v>38</v>
      </c>
      <c r="AE48" s="5" t="s">
        <v>38</v>
      </c>
      <c r="AF48" s="8" t="s">
        <v>38</v>
      </c>
      <c r="AG48" s="4"/>
      <c r="AH48" s="5" t="s">
        <v>285</v>
      </c>
      <c r="AI48" s="5"/>
      <c r="AJ48" s="5"/>
      <c r="AK48" s="5"/>
      <c r="AL48" s="5"/>
      <c r="AM48" s="5"/>
      <c r="AN48" s="5"/>
    </row>
    <row r="49" spans="1:40" ht="345.4" x14ac:dyDescent="0.35">
      <c r="A49" s="5">
        <v>13</v>
      </c>
      <c r="B49" s="9" t="s">
        <v>292</v>
      </c>
      <c r="C49" s="5"/>
      <c r="D49" s="5"/>
      <c r="E49" s="5"/>
      <c r="F49" s="5"/>
      <c r="G49" s="5"/>
      <c r="H49" s="5">
        <v>8</v>
      </c>
      <c r="I49" s="5" t="s">
        <v>293</v>
      </c>
      <c r="J49" s="5"/>
      <c r="K49" s="5">
        <v>37.5</v>
      </c>
      <c r="L49" s="5">
        <v>31</v>
      </c>
      <c r="M49" s="5" t="s">
        <v>294</v>
      </c>
      <c r="N49" s="5"/>
      <c r="O49" s="5">
        <v>29</v>
      </c>
      <c r="P49" s="5" t="s">
        <v>295</v>
      </c>
      <c r="Q49" s="5" t="s">
        <v>41</v>
      </c>
      <c r="R49" s="5" t="s">
        <v>296</v>
      </c>
      <c r="S49" s="5" t="s">
        <v>38</v>
      </c>
      <c r="T49" s="5" t="s">
        <v>38</v>
      </c>
      <c r="U49" s="5" t="s">
        <v>297</v>
      </c>
      <c r="V49" s="5" t="s">
        <v>298</v>
      </c>
      <c r="W49" s="5" t="s">
        <v>38</v>
      </c>
      <c r="X49" s="5"/>
      <c r="Y49" s="5">
        <v>5.3</v>
      </c>
      <c r="Z49" s="5">
        <v>2.8</v>
      </c>
      <c r="AA49" s="5">
        <v>5.2</v>
      </c>
      <c r="AB49" s="5">
        <v>3.5</v>
      </c>
      <c r="AC49" s="5" t="s">
        <v>181</v>
      </c>
      <c r="AD49" s="8">
        <v>0.86</v>
      </c>
      <c r="AE49" s="5" t="s">
        <v>299</v>
      </c>
      <c r="AF49" s="8" t="s">
        <v>38</v>
      </c>
      <c r="AG49" s="4" t="s">
        <v>300</v>
      </c>
      <c r="AH49" s="5" t="s">
        <v>301</v>
      </c>
      <c r="AI49" s="5"/>
      <c r="AJ49" s="5"/>
      <c r="AK49" s="5"/>
      <c r="AL49" s="5"/>
      <c r="AM49" s="5"/>
      <c r="AN49" s="5"/>
    </row>
    <row r="50" spans="1:40" ht="76.5" x14ac:dyDescent="0.35">
      <c r="A50" s="5">
        <v>13</v>
      </c>
      <c r="B50" s="9" t="s">
        <v>292</v>
      </c>
      <c r="C50" s="5"/>
      <c r="D50" s="5"/>
      <c r="E50" s="5"/>
      <c r="F50" s="5"/>
      <c r="G50" s="5"/>
      <c r="H50" s="5">
        <v>8</v>
      </c>
      <c r="I50" s="5" t="s">
        <v>293</v>
      </c>
      <c r="J50" s="5"/>
      <c r="K50" s="5">
        <v>37.5</v>
      </c>
      <c r="L50" s="5">
        <v>31</v>
      </c>
      <c r="M50" s="5" t="s">
        <v>294</v>
      </c>
      <c r="N50" s="5"/>
      <c r="O50" s="5">
        <v>29</v>
      </c>
      <c r="P50" s="5" t="s">
        <v>295</v>
      </c>
      <c r="Q50" s="5" t="s">
        <v>41</v>
      </c>
      <c r="R50" s="5" t="s">
        <v>296</v>
      </c>
      <c r="S50" s="5" t="s">
        <v>38</v>
      </c>
      <c r="T50" s="5" t="s">
        <v>38</v>
      </c>
      <c r="U50" s="5" t="s">
        <v>302</v>
      </c>
      <c r="V50" s="5" t="s">
        <v>298</v>
      </c>
      <c r="W50" s="5" t="s">
        <v>38</v>
      </c>
      <c r="X50" s="5"/>
      <c r="Y50" s="5">
        <v>3.8</v>
      </c>
      <c r="Z50" s="5">
        <v>3.7</v>
      </c>
      <c r="AA50" s="5">
        <v>4.3</v>
      </c>
      <c r="AB50" s="5">
        <v>3.6</v>
      </c>
      <c r="AC50" s="5" t="s">
        <v>181</v>
      </c>
      <c r="AD50" s="8">
        <v>0.86</v>
      </c>
      <c r="AE50" s="5" t="s">
        <v>299</v>
      </c>
      <c r="AF50" s="8" t="s">
        <v>38</v>
      </c>
      <c r="AG50" s="4"/>
      <c r="AH50" s="5"/>
      <c r="AI50" s="5"/>
      <c r="AJ50" s="5"/>
      <c r="AK50" s="5"/>
      <c r="AL50" s="5"/>
      <c r="AM50" s="5"/>
      <c r="AN50" s="5"/>
    </row>
    <row r="51" spans="1:40" ht="76.5" x14ac:dyDescent="0.35">
      <c r="A51" s="5">
        <v>13</v>
      </c>
      <c r="B51" s="9" t="s">
        <v>292</v>
      </c>
      <c r="C51" s="5"/>
      <c r="D51" s="5"/>
      <c r="E51" s="5"/>
      <c r="F51" s="5"/>
      <c r="G51" s="5"/>
      <c r="H51" s="5">
        <v>8</v>
      </c>
      <c r="I51" s="5" t="s">
        <v>293</v>
      </c>
      <c r="J51" s="5"/>
      <c r="K51" s="5">
        <v>37.5</v>
      </c>
      <c r="L51" s="5">
        <v>31</v>
      </c>
      <c r="M51" s="5" t="s">
        <v>294</v>
      </c>
      <c r="N51" s="5"/>
      <c r="O51" s="5">
        <v>29</v>
      </c>
      <c r="P51" s="5" t="s">
        <v>295</v>
      </c>
      <c r="Q51" s="5" t="s">
        <v>41</v>
      </c>
      <c r="R51" s="5" t="s">
        <v>296</v>
      </c>
      <c r="S51" s="5" t="s">
        <v>38</v>
      </c>
      <c r="T51" s="5" t="s">
        <v>38</v>
      </c>
      <c r="U51" s="5" t="s">
        <v>303</v>
      </c>
      <c r="V51" s="5" t="s">
        <v>298</v>
      </c>
      <c r="W51" s="5" t="s">
        <v>38</v>
      </c>
      <c r="X51" s="5"/>
      <c r="Y51" s="5">
        <v>3.8</v>
      </c>
      <c r="Z51" s="5">
        <v>3.6</v>
      </c>
      <c r="AA51" s="5">
        <v>4.7</v>
      </c>
      <c r="AB51" s="5">
        <v>3.7</v>
      </c>
      <c r="AC51" s="5" t="s">
        <v>181</v>
      </c>
      <c r="AD51" s="8">
        <v>0.86</v>
      </c>
      <c r="AE51" s="5" t="s">
        <v>299</v>
      </c>
      <c r="AF51" s="8" t="s">
        <v>38</v>
      </c>
      <c r="AG51" s="4"/>
      <c r="AH51" s="5"/>
      <c r="AI51" s="5"/>
      <c r="AJ51" s="5"/>
      <c r="AK51" s="5"/>
      <c r="AL51" s="5"/>
      <c r="AM51" s="5"/>
      <c r="AN51" s="5"/>
    </row>
    <row r="52" spans="1:40" ht="76.5" x14ac:dyDescent="0.35">
      <c r="A52" s="5">
        <v>13</v>
      </c>
      <c r="B52" s="9" t="s">
        <v>292</v>
      </c>
      <c r="C52" s="5"/>
      <c r="D52" s="5"/>
      <c r="E52" s="5"/>
      <c r="F52" s="5"/>
      <c r="G52" s="5"/>
      <c r="H52" s="5">
        <v>8</v>
      </c>
      <c r="I52" s="5" t="s">
        <v>293</v>
      </c>
      <c r="J52" s="5"/>
      <c r="K52" s="5">
        <v>37.5</v>
      </c>
      <c r="L52" s="5">
        <v>31</v>
      </c>
      <c r="M52" s="5" t="s">
        <v>294</v>
      </c>
      <c r="N52" s="5"/>
      <c r="O52" s="5">
        <v>29</v>
      </c>
      <c r="P52" s="5" t="s">
        <v>295</v>
      </c>
      <c r="Q52" s="5" t="s">
        <v>41</v>
      </c>
      <c r="R52" s="5" t="s">
        <v>296</v>
      </c>
      <c r="S52" s="5" t="s">
        <v>38</v>
      </c>
      <c r="T52" s="5" t="s">
        <v>38</v>
      </c>
      <c r="U52" s="5" t="s">
        <v>304</v>
      </c>
      <c r="V52" s="5" t="s">
        <v>298</v>
      </c>
      <c r="W52" s="5" t="s">
        <v>38</v>
      </c>
      <c r="X52" s="5"/>
      <c r="Y52" s="5">
        <v>3.4</v>
      </c>
      <c r="Z52" s="5">
        <v>2.9</v>
      </c>
      <c r="AA52" s="5">
        <v>5.5</v>
      </c>
      <c r="AB52" s="5">
        <v>3.7</v>
      </c>
      <c r="AC52" s="5" t="s">
        <v>181</v>
      </c>
      <c r="AD52" s="8">
        <v>0.86</v>
      </c>
      <c r="AE52" s="5" t="s">
        <v>299</v>
      </c>
      <c r="AF52" s="8" t="s">
        <v>38</v>
      </c>
      <c r="AG52" s="4"/>
      <c r="AH52" s="5"/>
      <c r="AI52" s="5"/>
      <c r="AJ52" s="5"/>
      <c r="AK52" s="5"/>
      <c r="AL52" s="5"/>
      <c r="AM52" s="5"/>
      <c r="AN52" s="5"/>
    </row>
    <row r="53" spans="1:40" ht="76.5" x14ac:dyDescent="0.35">
      <c r="A53" s="5">
        <v>13</v>
      </c>
      <c r="B53" s="9" t="s">
        <v>292</v>
      </c>
      <c r="C53" s="5"/>
      <c r="D53" s="5"/>
      <c r="E53" s="5"/>
      <c r="F53" s="5"/>
      <c r="G53" s="5"/>
      <c r="H53" s="5">
        <v>8</v>
      </c>
      <c r="I53" s="5" t="s">
        <v>293</v>
      </c>
      <c r="J53" s="5"/>
      <c r="K53" s="5">
        <v>37.5</v>
      </c>
      <c r="L53" s="5">
        <v>31</v>
      </c>
      <c r="M53" s="5" t="s">
        <v>294</v>
      </c>
      <c r="N53" s="5"/>
      <c r="O53" s="5">
        <v>29</v>
      </c>
      <c r="P53" s="5" t="s">
        <v>295</v>
      </c>
      <c r="Q53" s="5" t="s">
        <v>41</v>
      </c>
      <c r="R53" s="5" t="s">
        <v>296</v>
      </c>
      <c r="S53" s="5" t="s">
        <v>38</v>
      </c>
      <c r="T53" s="5" t="s">
        <v>38</v>
      </c>
      <c r="U53" s="5" t="s">
        <v>305</v>
      </c>
      <c r="V53" s="5" t="s">
        <v>298</v>
      </c>
      <c r="W53" s="5" t="s">
        <v>38</v>
      </c>
      <c r="X53" s="5"/>
      <c r="Y53" s="5">
        <v>3.6</v>
      </c>
      <c r="Z53" s="5">
        <v>2.9</v>
      </c>
      <c r="AA53" s="5">
        <v>5.5</v>
      </c>
      <c r="AB53" s="5">
        <v>3.8</v>
      </c>
      <c r="AC53" s="5" t="s">
        <v>181</v>
      </c>
      <c r="AD53" s="8">
        <v>0.86</v>
      </c>
      <c r="AE53" s="5" t="s">
        <v>299</v>
      </c>
      <c r="AF53" s="8" t="s">
        <v>38</v>
      </c>
      <c r="AG53" s="4"/>
      <c r="AH53" s="5"/>
      <c r="AI53" s="5"/>
      <c r="AJ53" s="5"/>
      <c r="AK53" s="5"/>
      <c r="AL53" s="5"/>
      <c r="AM53" s="5"/>
      <c r="AN53" s="5"/>
    </row>
    <row r="54" spans="1:40" ht="76.5" x14ac:dyDescent="0.35">
      <c r="A54" s="5">
        <v>13</v>
      </c>
      <c r="B54" s="9" t="s">
        <v>292</v>
      </c>
      <c r="C54" s="5"/>
      <c r="D54" s="5"/>
      <c r="E54" s="5"/>
      <c r="F54" s="5"/>
      <c r="G54" s="5"/>
      <c r="H54" s="5">
        <v>8</v>
      </c>
      <c r="I54" s="5" t="s">
        <v>293</v>
      </c>
      <c r="J54" s="5"/>
      <c r="K54" s="5">
        <v>37.5</v>
      </c>
      <c r="L54" s="5">
        <v>31</v>
      </c>
      <c r="M54" s="5" t="s">
        <v>294</v>
      </c>
      <c r="N54" s="5"/>
      <c r="O54" s="5">
        <v>29</v>
      </c>
      <c r="P54" s="5" t="s">
        <v>295</v>
      </c>
      <c r="Q54" s="5" t="s">
        <v>41</v>
      </c>
      <c r="R54" s="5" t="s">
        <v>296</v>
      </c>
      <c r="S54" s="5" t="s">
        <v>38</v>
      </c>
      <c r="T54" s="5" t="s">
        <v>38</v>
      </c>
      <c r="U54" s="5" t="s">
        <v>306</v>
      </c>
      <c r="V54" s="5" t="s">
        <v>298</v>
      </c>
      <c r="W54" s="5" t="s">
        <v>38</v>
      </c>
      <c r="X54" s="5"/>
      <c r="Y54" s="5">
        <v>1.7</v>
      </c>
      <c r="Z54" s="5">
        <v>2.2000000000000002</v>
      </c>
      <c r="AA54" s="5">
        <v>4.5999999999999996</v>
      </c>
      <c r="AB54" s="5">
        <v>3.5</v>
      </c>
      <c r="AC54" s="5" t="s">
        <v>181</v>
      </c>
      <c r="AD54" s="8">
        <v>0.86</v>
      </c>
      <c r="AE54" s="5" t="s">
        <v>299</v>
      </c>
      <c r="AF54" s="8" t="s">
        <v>38</v>
      </c>
      <c r="AG54" s="4"/>
      <c r="AH54" s="5"/>
      <c r="AI54" s="5"/>
      <c r="AJ54" s="5"/>
      <c r="AK54" s="5"/>
      <c r="AL54" s="5"/>
      <c r="AM54" s="5"/>
      <c r="AN54" s="5"/>
    </row>
    <row r="55" spans="1:40" ht="76.5" x14ac:dyDescent="0.35">
      <c r="A55" s="5">
        <v>13</v>
      </c>
      <c r="B55" s="9" t="s">
        <v>292</v>
      </c>
      <c r="C55" s="5"/>
      <c r="D55" s="5"/>
      <c r="E55" s="5"/>
      <c r="F55" s="5"/>
      <c r="G55" s="5"/>
      <c r="H55" s="5">
        <v>8</v>
      </c>
      <c r="I55" s="5" t="s">
        <v>293</v>
      </c>
      <c r="J55" s="5"/>
      <c r="K55" s="5">
        <v>37.5</v>
      </c>
      <c r="L55" s="5">
        <v>31</v>
      </c>
      <c r="M55" s="5" t="s">
        <v>294</v>
      </c>
      <c r="N55" s="5"/>
      <c r="O55" s="5">
        <v>29</v>
      </c>
      <c r="P55" s="5" t="s">
        <v>295</v>
      </c>
      <c r="Q55" s="5" t="s">
        <v>41</v>
      </c>
      <c r="R55" s="5" t="s">
        <v>296</v>
      </c>
      <c r="S55" s="5" t="s">
        <v>38</v>
      </c>
      <c r="T55" s="5" t="s">
        <v>38</v>
      </c>
      <c r="U55" s="5" t="s">
        <v>307</v>
      </c>
      <c r="V55" s="5" t="s">
        <v>298</v>
      </c>
      <c r="W55" s="5" t="s">
        <v>38</v>
      </c>
      <c r="X55" s="5"/>
      <c r="Y55" s="5">
        <v>2.4</v>
      </c>
      <c r="Z55" s="5">
        <v>2.6</v>
      </c>
      <c r="AA55" s="5">
        <v>4.7</v>
      </c>
      <c r="AB55" s="5">
        <v>3.8</v>
      </c>
      <c r="AC55" s="5" t="s">
        <v>181</v>
      </c>
      <c r="AD55" s="8">
        <v>0.86</v>
      </c>
      <c r="AE55" s="5" t="s">
        <v>299</v>
      </c>
      <c r="AF55" s="8" t="s">
        <v>38</v>
      </c>
      <c r="AG55" s="4"/>
      <c r="AH55" s="5"/>
      <c r="AI55" s="5"/>
      <c r="AJ55" s="5"/>
      <c r="AK55" s="5"/>
      <c r="AL55" s="5"/>
      <c r="AM55" s="5"/>
      <c r="AN55" s="5"/>
    </row>
    <row r="56" spans="1:40" ht="126" customHeight="1" x14ac:dyDescent="0.35">
      <c r="A56" s="14">
        <v>14</v>
      </c>
      <c r="B56" s="14" t="s">
        <v>308</v>
      </c>
      <c r="C56" s="14"/>
      <c r="D56" s="14"/>
      <c r="E56" s="14"/>
      <c r="F56" s="14"/>
      <c r="G56" s="14"/>
      <c r="H56" s="14">
        <v>15</v>
      </c>
      <c r="I56" s="14" t="s">
        <v>309</v>
      </c>
      <c r="J56" s="14"/>
      <c r="K56" s="14">
        <v>40</v>
      </c>
      <c r="L56" s="14"/>
      <c r="M56" s="14"/>
      <c r="N56" s="14"/>
      <c r="O56" s="14">
        <f>6/15*100</f>
        <v>40</v>
      </c>
      <c r="P56" s="14" t="s">
        <v>70</v>
      </c>
      <c r="Q56" s="14" t="s">
        <v>41</v>
      </c>
      <c r="R56" s="14" t="s">
        <v>310</v>
      </c>
      <c r="S56" s="14" t="s">
        <v>311</v>
      </c>
      <c r="T56" s="14" t="s">
        <v>312</v>
      </c>
      <c r="U56" s="14" t="s">
        <v>313</v>
      </c>
      <c r="V56" s="14" t="s">
        <v>314</v>
      </c>
      <c r="W56" s="14"/>
      <c r="X56" s="14" t="s">
        <v>315</v>
      </c>
      <c r="Y56" s="14" t="s">
        <v>38</v>
      </c>
      <c r="Z56" s="14" t="s">
        <v>38</v>
      </c>
      <c r="AA56" s="14" t="s">
        <v>38</v>
      </c>
      <c r="AB56" s="14" t="s">
        <v>38</v>
      </c>
      <c r="AC56" s="14" t="s">
        <v>316</v>
      </c>
      <c r="AD56" s="15">
        <v>0.13333333333333333</v>
      </c>
      <c r="AE56" s="14">
        <v>14</v>
      </c>
      <c r="AF56" s="15">
        <v>5.5555555555555558E-3</v>
      </c>
      <c r="AG56" s="16" t="s">
        <v>317</v>
      </c>
      <c r="AH56" s="14"/>
      <c r="AI56" s="14"/>
      <c r="AJ56" s="14"/>
      <c r="AK56" s="14"/>
      <c r="AL56" s="14"/>
      <c r="AM56" s="14"/>
      <c r="AN56" s="14"/>
    </row>
    <row r="57" spans="1:40" ht="126" customHeight="1" x14ac:dyDescent="0.35">
      <c r="A57" s="14">
        <v>14</v>
      </c>
      <c r="B57" s="14" t="s">
        <v>308</v>
      </c>
      <c r="C57" s="14"/>
      <c r="D57" s="14"/>
      <c r="E57" s="14"/>
      <c r="F57" s="14"/>
      <c r="G57" s="14"/>
      <c r="H57" s="14">
        <v>16</v>
      </c>
      <c r="I57" s="14" t="s">
        <v>318</v>
      </c>
      <c r="J57" s="14"/>
      <c r="K57" s="14">
        <v>50</v>
      </c>
      <c r="L57" s="14"/>
      <c r="M57" s="14"/>
      <c r="N57" s="14"/>
      <c r="O57" s="14">
        <v>50</v>
      </c>
      <c r="P57" s="14" t="s">
        <v>70</v>
      </c>
      <c r="Q57" s="14" t="s">
        <v>41</v>
      </c>
      <c r="R57" s="14" t="s">
        <v>310</v>
      </c>
      <c r="S57" s="14" t="s">
        <v>311</v>
      </c>
      <c r="T57" s="14" t="s">
        <v>312</v>
      </c>
      <c r="U57" s="14" t="s">
        <v>319</v>
      </c>
      <c r="V57" s="14" t="s">
        <v>320</v>
      </c>
      <c r="W57" s="14" t="s">
        <v>143</v>
      </c>
      <c r="X57" s="14" t="s">
        <v>321</v>
      </c>
      <c r="Y57" s="14" t="s">
        <v>38</v>
      </c>
      <c r="Z57" s="14" t="s">
        <v>38</v>
      </c>
      <c r="AA57" s="14" t="s">
        <v>38</v>
      </c>
      <c r="AB57" s="14" t="s">
        <v>38</v>
      </c>
      <c r="AC57" s="14" t="s">
        <v>316</v>
      </c>
      <c r="AD57" s="15">
        <v>4.791666666666667E-2</v>
      </c>
      <c r="AE57" s="14">
        <v>15</v>
      </c>
      <c r="AF57" s="14" t="s">
        <v>322</v>
      </c>
      <c r="AG57" s="16" t="s">
        <v>323</v>
      </c>
      <c r="AH57" s="14"/>
      <c r="AI57" s="14"/>
      <c r="AJ57" s="14"/>
      <c r="AK57" s="14"/>
      <c r="AL57" s="14"/>
      <c r="AM57" s="14"/>
      <c r="AN57" s="14"/>
    </row>
    <row r="58" spans="1:40" ht="126" customHeight="1" x14ac:dyDescent="0.35">
      <c r="A58" s="17">
        <v>14</v>
      </c>
      <c r="B58" s="17" t="s">
        <v>308</v>
      </c>
      <c r="C58" s="18"/>
      <c r="D58" s="18"/>
      <c r="E58" s="18"/>
      <c r="F58" s="18"/>
      <c r="G58" s="18"/>
      <c r="H58" s="14">
        <v>16</v>
      </c>
      <c r="I58" s="14" t="s">
        <v>318</v>
      </c>
      <c r="J58" s="14"/>
      <c r="K58" s="14">
        <v>50</v>
      </c>
      <c r="L58" s="14"/>
      <c r="M58" s="14"/>
      <c r="N58" s="14"/>
      <c r="O58" s="14">
        <v>50</v>
      </c>
      <c r="P58" s="17" t="s">
        <v>70</v>
      </c>
      <c r="Q58" s="17" t="s">
        <v>41</v>
      </c>
      <c r="R58" s="17" t="s">
        <v>310</v>
      </c>
      <c r="S58" s="17" t="s">
        <v>311</v>
      </c>
      <c r="T58" s="17" t="s">
        <v>312</v>
      </c>
      <c r="U58" s="14" t="s">
        <v>319</v>
      </c>
      <c r="V58" s="17" t="s">
        <v>324</v>
      </c>
      <c r="W58" s="17" t="s">
        <v>143</v>
      </c>
      <c r="X58" s="17" t="s">
        <v>325</v>
      </c>
      <c r="Y58" s="17" t="s">
        <v>38</v>
      </c>
      <c r="Z58" s="17" t="s">
        <v>38</v>
      </c>
      <c r="AA58" s="17" t="s">
        <v>38</v>
      </c>
      <c r="AB58" s="17" t="s">
        <v>38</v>
      </c>
      <c r="AC58" s="17" t="s">
        <v>316</v>
      </c>
      <c r="AD58" s="19">
        <v>4.583333333333333E-2</v>
      </c>
      <c r="AE58" s="17">
        <v>15</v>
      </c>
      <c r="AF58" s="17" t="s">
        <v>326</v>
      </c>
      <c r="AG58" s="16" t="s">
        <v>323</v>
      </c>
      <c r="AH58" s="18"/>
      <c r="AI58" s="18"/>
      <c r="AJ58" s="18"/>
      <c r="AK58" s="18"/>
      <c r="AL58" s="18"/>
      <c r="AM58" s="18"/>
      <c r="AN58" s="18"/>
    </row>
    <row r="59" spans="1:40" ht="126" customHeight="1" x14ac:dyDescent="0.35">
      <c r="A59" s="14">
        <v>14</v>
      </c>
      <c r="B59" s="14" t="s">
        <v>308</v>
      </c>
      <c r="C59" s="14"/>
      <c r="D59" s="14"/>
      <c r="E59" s="14"/>
      <c r="F59" s="14"/>
      <c r="G59" s="14"/>
      <c r="H59" s="14">
        <v>16</v>
      </c>
      <c r="I59" s="14" t="s">
        <v>318</v>
      </c>
      <c r="J59" s="14"/>
      <c r="K59" s="14">
        <v>50</v>
      </c>
      <c r="L59" s="14"/>
      <c r="M59" s="14"/>
      <c r="N59" s="14"/>
      <c r="O59" s="14">
        <v>50</v>
      </c>
      <c r="P59" s="14" t="s">
        <v>70</v>
      </c>
      <c r="Q59" s="14" t="s">
        <v>41</v>
      </c>
      <c r="R59" s="14" t="s">
        <v>310</v>
      </c>
      <c r="S59" s="14" t="s">
        <v>311</v>
      </c>
      <c r="T59" s="14" t="s">
        <v>312</v>
      </c>
      <c r="U59" s="14" t="s">
        <v>327</v>
      </c>
      <c r="V59" s="14" t="s">
        <v>320</v>
      </c>
      <c r="W59" s="14" t="s">
        <v>143</v>
      </c>
      <c r="X59" s="14" t="s">
        <v>321</v>
      </c>
      <c r="Y59" s="14" t="s">
        <v>38</v>
      </c>
      <c r="Z59" s="14" t="s">
        <v>38</v>
      </c>
      <c r="AA59" s="14" t="s">
        <v>38</v>
      </c>
      <c r="AB59" s="14" t="s">
        <v>38</v>
      </c>
      <c r="AC59" s="14" t="s">
        <v>316</v>
      </c>
      <c r="AD59" s="14" t="s">
        <v>328</v>
      </c>
      <c r="AE59" s="14">
        <v>15</v>
      </c>
      <c r="AF59" s="14" t="s">
        <v>329</v>
      </c>
      <c r="AG59" s="16" t="s">
        <v>323</v>
      </c>
      <c r="AH59" s="14"/>
      <c r="AI59" s="14"/>
      <c r="AJ59" s="14"/>
      <c r="AK59" s="14"/>
      <c r="AL59" s="14"/>
      <c r="AM59" s="14"/>
      <c r="AN59" s="14"/>
    </row>
    <row r="60" spans="1:40" ht="126" customHeight="1" x14ac:dyDescent="0.35">
      <c r="A60" s="17">
        <v>14</v>
      </c>
      <c r="B60" s="17" t="s">
        <v>308</v>
      </c>
      <c r="C60" s="18"/>
      <c r="D60" s="18"/>
      <c r="E60" s="18"/>
      <c r="F60" s="18"/>
      <c r="G60" s="18"/>
      <c r="H60" s="14">
        <v>16</v>
      </c>
      <c r="I60" s="14" t="s">
        <v>318</v>
      </c>
      <c r="J60" s="14"/>
      <c r="K60" s="14">
        <v>50</v>
      </c>
      <c r="L60" s="14"/>
      <c r="M60" s="14"/>
      <c r="N60" s="14"/>
      <c r="O60" s="14">
        <v>50</v>
      </c>
      <c r="P60" s="17" t="s">
        <v>70</v>
      </c>
      <c r="Q60" s="17" t="s">
        <v>41</v>
      </c>
      <c r="R60" s="17" t="s">
        <v>310</v>
      </c>
      <c r="S60" s="17" t="s">
        <v>311</v>
      </c>
      <c r="T60" s="17" t="s">
        <v>312</v>
      </c>
      <c r="U60" s="14" t="s">
        <v>327</v>
      </c>
      <c r="V60" s="17" t="s">
        <v>324</v>
      </c>
      <c r="W60" s="17" t="s">
        <v>143</v>
      </c>
      <c r="X60" s="17" t="s">
        <v>325</v>
      </c>
      <c r="Y60" s="17" t="s">
        <v>38</v>
      </c>
      <c r="Z60" s="17" t="s">
        <v>38</v>
      </c>
      <c r="AA60" s="17" t="s">
        <v>38</v>
      </c>
      <c r="AB60" s="17" t="s">
        <v>38</v>
      </c>
      <c r="AC60" s="17" t="s">
        <v>316</v>
      </c>
      <c r="AD60" s="19">
        <v>2.4305555555555556E-2</v>
      </c>
      <c r="AE60" s="17">
        <v>15</v>
      </c>
      <c r="AF60" s="19">
        <v>5.0694444444444445E-2</v>
      </c>
      <c r="AG60" s="16" t="s">
        <v>323</v>
      </c>
      <c r="AH60" s="18"/>
      <c r="AI60" s="18"/>
      <c r="AJ60" s="18"/>
      <c r="AK60" s="18"/>
      <c r="AL60" s="18"/>
      <c r="AM60" s="18"/>
      <c r="AN60" s="18"/>
    </row>
    <row r="61" spans="1:40" ht="314.25" customHeight="1" x14ac:dyDescent="0.35">
      <c r="A61" s="14">
        <v>15</v>
      </c>
      <c r="B61" s="14" t="s">
        <v>330</v>
      </c>
      <c r="C61" s="14"/>
      <c r="D61" s="14"/>
      <c r="E61" s="14"/>
      <c r="F61" s="14"/>
      <c r="G61" s="14"/>
      <c r="H61" s="14">
        <v>24</v>
      </c>
      <c r="I61" s="14" t="s">
        <v>331</v>
      </c>
      <c r="J61" s="14"/>
      <c r="K61" s="14" t="s">
        <v>332</v>
      </c>
      <c r="L61" s="14"/>
      <c r="M61" s="14"/>
      <c r="N61" s="14"/>
      <c r="O61" s="14"/>
      <c r="P61" s="14" t="s">
        <v>70</v>
      </c>
      <c r="Q61" s="14" t="s">
        <v>41</v>
      </c>
      <c r="R61" s="14" t="s">
        <v>333</v>
      </c>
      <c r="S61" s="14" t="s">
        <v>334</v>
      </c>
      <c r="T61" s="14" t="s">
        <v>334</v>
      </c>
      <c r="U61" s="14" t="s">
        <v>335</v>
      </c>
      <c r="V61" s="14" t="s">
        <v>336</v>
      </c>
      <c r="W61" s="14" t="s">
        <v>337</v>
      </c>
      <c r="X61" s="14" t="s">
        <v>338</v>
      </c>
      <c r="Y61" s="14" t="s">
        <v>38</v>
      </c>
      <c r="Z61" s="14" t="s">
        <v>38</v>
      </c>
      <c r="AA61" s="14" t="s">
        <v>38</v>
      </c>
      <c r="AB61" s="14" t="s">
        <v>38</v>
      </c>
      <c r="AC61" s="14" t="s">
        <v>181</v>
      </c>
      <c r="AD61" s="20" t="s">
        <v>339</v>
      </c>
      <c r="AE61" s="14" t="s">
        <v>38</v>
      </c>
      <c r="AF61" s="20">
        <v>0.247</v>
      </c>
      <c r="AG61" s="16" t="s">
        <v>340</v>
      </c>
      <c r="AH61" s="14" t="s">
        <v>341</v>
      </c>
      <c r="AI61" s="14"/>
      <c r="AJ61" s="14"/>
      <c r="AK61" s="14"/>
      <c r="AL61" s="14"/>
      <c r="AM61" s="14"/>
      <c r="AN61" s="14"/>
    </row>
    <row r="62" spans="1:40" ht="127.5" x14ac:dyDescent="0.35">
      <c r="A62" s="14">
        <v>15</v>
      </c>
      <c r="B62" s="14" t="s">
        <v>330</v>
      </c>
      <c r="C62" s="14"/>
      <c r="D62" s="14"/>
      <c r="E62" s="14"/>
      <c r="F62" s="14"/>
      <c r="G62" s="14"/>
      <c r="H62" s="14">
        <v>24</v>
      </c>
      <c r="I62" s="14" t="s">
        <v>331</v>
      </c>
      <c r="J62" s="14"/>
      <c r="K62" s="14" t="s">
        <v>332</v>
      </c>
      <c r="L62" s="14"/>
      <c r="M62" s="14"/>
      <c r="N62" s="14"/>
      <c r="O62" s="14"/>
      <c r="P62" s="14" t="s">
        <v>70</v>
      </c>
      <c r="Q62" s="14" t="s">
        <v>41</v>
      </c>
      <c r="R62" s="14" t="s">
        <v>333</v>
      </c>
      <c r="S62" s="14" t="s">
        <v>334</v>
      </c>
      <c r="T62" s="14" t="s">
        <v>334</v>
      </c>
      <c r="U62" s="14" t="s">
        <v>342</v>
      </c>
      <c r="V62" s="14" t="s">
        <v>336</v>
      </c>
      <c r="W62" s="14" t="s">
        <v>337</v>
      </c>
      <c r="X62" s="14" t="s">
        <v>338</v>
      </c>
      <c r="Y62" s="14" t="s">
        <v>38</v>
      </c>
      <c r="Z62" s="14" t="s">
        <v>38</v>
      </c>
      <c r="AA62" s="14" t="s">
        <v>38</v>
      </c>
      <c r="AB62" s="14" t="s">
        <v>38</v>
      </c>
      <c r="AC62" s="14" t="s">
        <v>181</v>
      </c>
      <c r="AD62" s="20" t="s">
        <v>119</v>
      </c>
      <c r="AE62" s="14" t="s">
        <v>38</v>
      </c>
      <c r="AF62" s="20">
        <v>0.63500000000000001</v>
      </c>
      <c r="AG62" s="14"/>
      <c r="AH62" s="14" t="s">
        <v>343</v>
      </c>
      <c r="AI62" s="14"/>
      <c r="AJ62" s="14"/>
      <c r="AK62" s="14"/>
      <c r="AL62" s="14"/>
      <c r="AM62" s="14"/>
      <c r="AN62" s="14"/>
    </row>
    <row r="63" spans="1:40" ht="127.5" x14ac:dyDescent="0.35">
      <c r="A63" s="14">
        <v>15</v>
      </c>
      <c r="B63" s="14" t="s">
        <v>330</v>
      </c>
      <c r="C63" s="14"/>
      <c r="D63" s="14"/>
      <c r="E63" s="14"/>
      <c r="F63" s="14"/>
      <c r="G63" s="14"/>
      <c r="H63" s="14">
        <v>24</v>
      </c>
      <c r="I63" s="14" t="s">
        <v>331</v>
      </c>
      <c r="J63" s="14"/>
      <c r="K63" s="14" t="s">
        <v>332</v>
      </c>
      <c r="L63" s="14"/>
      <c r="M63" s="14"/>
      <c r="N63" s="14"/>
      <c r="O63" s="14"/>
      <c r="P63" s="14" t="s">
        <v>70</v>
      </c>
      <c r="Q63" s="14" t="s">
        <v>41</v>
      </c>
      <c r="R63" s="14" t="s">
        <v>333</v>
      </c>
      <c r="S63" s="14" t="s">
        <v>334</v>
      </c>
      <c r="T63" s="14" t="s">
        <v>334</v>
      </c>
      <c r="U63" s="14" t="s">
        <v>344</v>
      </c>
      <c r="V63" s="14" t="s">
        <v>336</v>
      </c>
      <c r="W63" s="14" t="s">
        <v>337</v>
      </c>
      <c r="X63" s="14" t="s">
        <v>338</v>
      </c>
      <c r="Y63" s="14" t="s">
        <v>38</v>
      </c>
      <c r="Z63" s="14" t="s">
        <v>38</v>
      </c>
      <c r="AA63" s="14" t="s">
        <v>38</v>
      </c>
      <c r="AB63" s="14" t="s">
        <v>38</v>
      </c>
      <c r="AC63" s="14" t="s">
        <v>181</v>
      </c>
      <c r="AD63" s="20" t="s">
        <v>345</v>
      </c>
      <c r="AE63" s="14" t="s">
        <v>38</v>
      </c>
      <c r="AF63" s="20" t="s">
        <v>346</v>
      </c>
      <c r="AG63" s="14"/>
      <c r="AH63" s="14" t="s">
        <v>347</v>
      </c>
      <c r="AI63" s="14"/>
      <c r="AJ63" s="14"/>
      <c r="AK63" s="14"/>
      <c r="AL63" s="14"/>
      <c r="AM63" s="14"/>
      <c r="AN63" s="14"/>
    </row>
    <row r="64" spans="1:40" ht="409.5" x14ac:dyDescent="0.35">
      <c r="A64" s="14">
        <v>16</v>
      </c>
      <c r="B64" s="14" t="s">
        <v>348</v>
      </c>
      <c r="C64" s="14"/>
      <c r="D64" s="14"/>
      <c r="E64" s="14"/>
      <c r="F64" s="14"/>
      <c r="G64" s="14"/>
      <c r="H64" s="14">
        <v>30</v>
      </c>
      <c r="I64" s="14" t="s">
        <v>349</v>
      </c>
      <c r="J64" s="14"/>
      <c r="K64" s="14" t="s">
        <v>350</v>
      </c>
      <c r="L64" s="14"/>
      <c r="M64" s="14"/>
      <c r="N64" s="14"/>
      <c r="O64" s="14"/>
      <c r="P64" s="14" t="s">
        <v>70</v>
      </c>
      <c r="Q64" s="14" t="s">
        <v>41</v>
      </c>
      <c r="R64" s="14" t="s">
        <v>264</v>
      </c>
      <c r="S64" s="14" t="s">
        <v>351</v>
      </c>
      <c r="T64" s="14" t="s">
        <v>38</v>
      </c>
      <c r="U64" s="14" t="s">
        <v>342</v>
      </c>
      <c r="V64" s="14" t="s">
        <v>352</v>
      </c>
      <c r="W64" s="14" t="s">
        <v>353</v>
      </c>
      <c r="X64" s="14" t="s">
        <v>354</v>
      </c>
      <c r="Y64" s="14" t="s">
        <v>355</v>
      </c>
      <c r="Z64" s="14" t="s">
        <v>356</v>
      </c>
      <c r="AA64" s="14" t="s">
        <v>357</v>
      </c>
      <c r="AB64" s="14" t="s">
        <v>358</v>
      </c>
      <c r="AC64" s="14" t="s">
        <v>80</v>
      </c>
      <c r="AD64" s="20">
        <v>-2197</v>
      </c>
      <c r="AE64" s="14">
        <v>28</v>
      </c>
      <c r="AF64" s="20">
        <v>3.5999999999999997E-2</v>
      </c>
      <c r="AG64" s="16" t="s">
        <v>359</v>
      </c>
      <c r="AH64" s="14" t="s">
        <v>93</v>
      </c>
      <c r="AI64" s="14"/>
      <c r="AJ64" s="14"/>
      <c r="AK64" s="14"/>
      <c r="AL64" s="14"/>
      <c r="AM64" s="14"/>
      <c r="AN64" s="14"/>
    </row>
    <row r="65" spans="1:40" ht="153" x14ac:dyDescent="0.35">
      <c r="A65" s="14">
        <v>16</v>
      </c>
      <c r="B65" s="14" t="s">
        <v>348</v>
      </c>
      <c r="C65" s="14"/>
      <c r="D65" s="14"/>
      <c r="E65" s="14"/>
      <c r="F65" s="14"/>
      <c r="G65" s="14"/>
      <c r="H65" s="14">
        <v>30</v>
      </c>
      <c r="I65" s="14" t="s">
        <v>349</v>
      </c>
      <c r="J65" s="14"/>
      <c r="K65" s="14" t="s">
        <v>350</v>
      </c>
      <c r="L65" s="14"/>
      <c r="M65" s="14"/>
      <c r="N65" s="14"/>
      <c r="O65" s="14"/>
      <c r="P65" s="14" t="s">
        <v>70</v>
      </c>
      <c r="Q65" s="14" t="s">
        <v>41</v>
      </c>
      <c r="R65" s="14" t="s">
        <v>264</v>
      </c>
      <c r="S65" s="14" t="s">
        <v>351</v>
      </c>
      <c r="T65" s="14" t="s">
        <v>38</v>
      </c>
      <c r="U65" s="14" t="s">
        <v>360</v>
      </c>
      <c r="V65" s="14" t="s">
        <v>352</v>
      </c>
      <c r="W65" s="14" t="s">
        <v>353</v>
      </c>
      <c r="X65" s="14" t="s">
        <v>354</v>
      </c>
      <c r="Y65" s="14" t="s">
        <v>361</v>
      </c>
      <c r="Z65" s="14" t="s">
        <v>362</v>
      </c>
      <c r="AA65" s="14" t="s">
        <v>357</v>
      </c>
      <c r="AB65" s="14">
        <v>2.2000000000000002</v>
      </c>
      <c r="AC65" s="14" t="s">
        <v>80</v>
      </c>
      <c r="AD65" s="20">
        <v>-2919</v>
      </c>
      <c r="AE65" s="14">
        <v>28</v>
      </c>
      <c r="AF65" s="20">
        <v>7.0000000000000001E-3</v>
      </c>
      <c r="AG65" s="14"/>
      <c r="AH65" s="14" t="s">
        <v>93</v>
      </c>
      <c r="AI65" s="14"/>
      <c r="AJ65" s="14"/>
      <c r="AK65" s="14"/>
      <c r="AL65" s="14"/>
      <c r="AM65" s="14"/>
      <c r="AN65" s="14"/>
    </row>
    <row r="66" spans="1:40" ht="153" x14ac:dyDescent="0.35">
      <c r="A66" s="14">
        <v>16</v>
      </c>
      <c r="B66" s="14" t="s">
        <v>348</v>
      </c>
      <c r="C66" s="14"/>
      <c r="D66" s="14"/>
      <c r="E66" s="14"/>
      <c r="F66" s="14"/>
      <c r="G66" s="14"/>
      <c r="H66" s="14">
        <v>30</v>
      </c>
      <c r="I66" s="14" t="s">
        <v>349</v>
      </c>
      <c r="J66" s="14"/>
      <c r="K66" s="14" t="s">
        <v>350</v>
      </c>
      <c r="L66" s="14"/>
      <c r="M66" s="14"/>
      <c r="N66" s="14"/>
      <c r="O66" s="14"/>
      <c r="P66" s="14" t="s">
        <v>70</v>
      </c>
      <c r="Q66" s="14" t="s">
        <v>41</v>
      </c>
      <c r="R66" s="14" t="s">
        <v>264</v>
      </c>
      <c r="S66" s="14" t="s">
        <v>351</v>
      </c>
      <c r="T66" s="14" t="s">
        <v>38</v>
      </c>
      <c r="U66" s="14" t="s">
        <v>363</v>
      </c>
      <c r="V66" s="14" t="s">
        <v>352</v>
      </c>
      <c r="W66" s="14" t="s">
        <v>353</v>
      </c>
      <c r="X66" s="14" t="s">
        <v>354</v>
      </c>
      <c r="Y66" s="14" t="s">
        <v>361</v>
      </c>
      <c r="Z66" s="14" t="s">
        <v>362</v>
      </c>
      <c r="AA66" s="14" t="s">
        <v>357</v>
      </c>
      <c r="AB66" s="14" t="s">
        <v>358</v>
      </c>
      <c r="AC66" s="14" t="s">
        <v>80</v>
      </c>
      <c r="AD66" s="20">
        <v>451</v>
      </c>
      <c r="AE66" s="14">
        <v>28</v>
      </c>
      <c r="AF66" s="20">
        <v>0.65600000000000003</v>
      </c>
      <c r="AG66" s="14"/>
      <c r="AH66" s="14" t="s">
        <v>93</v>
      </c>
      <c r="AI66" s="14"/>
      <c r="AJ66" s="14"/>
      <c r="AK66" s="14"/>
      <c r="AL66" s="14"/>
      <c r="AM66" s="14"/>
      <c r="AN66" s="14"/>
    </row>
    <row r="67" spans="1:40" ht="51" x14ac:dyDescent="0.35">
      <c r="A67" s="14">
        <v>16</v>
      </c>
      <c r="B67" s="14" t="s">
        <v>348</v>
      </c>
      <c r="C67" s="14"/>
      <c r="D67" s="14"/>
      <c r="E67" s="14"/>
      <c r="F67" s="14"/>
      <c r="G67" s="14"/>
      <c r="H67" s="14">
        <v>30</v>
      </c>
      <c r="I67" s="14" t="s">
        <v>349</v>
      </c>
      <c r="J67" s="14"/>
      <c r="K67" s="14" t="s">
        <v>350</v>
      </c>
      <c r="L67" s="14"/>
      <c r="M67" s="14"/>
      <c r="N67" s="14"/>
      <c r="O67" s="14"/>
      <c r="P67" s="14" t="s">
        <v>70</v>
      </c>
      <c r="Q67" s="14" t="s">
        <v>41</v>
      </c>
      <c r="R67" s="14" t="s">
        <v>264</v>
      </c>
      <c r="S67" s="14" t="s">
        <v>364</v>
      </c>
      <c r="T67" s="14" t="s">
        <v>364</v>
      </c>
      <c r="U67" s="14" t="s">
        <v>365</v>
      </c>
      <c r="V67" s="14" t="s">
        <v>45</v>
      </c>
      <c r="W67" s="14" t="s">
        <v>366</v>
      </c>
      <c r="X67" s="14" t="s">
        <v>367</v>
      </c>
      <c r="Y67" s="14" t="s">
        <v>368</v>
      </c>
      <c r="Z67" s="14" t="s">
        <v>369</v>
      </c>
      <c r="AA67" s="14" t="s">
        <v>370</v>
      </c>
      <c r="AB67" s="14">
        <v>22.36</v>
      </c>
      <c r="AC67" s="14" t="s">
        <v>80</v>
      </c>
      <c r="AD67" s="20" t="s">
        <v>38</v>
      </c>
      <c r="AE67" s="14">
        <v>28</v>
      </c>
      <c r="AF67" s="20" t="s">
        <v>371</v>
      </c>
      <c r="AG67" s="14"/>
      <c r="AH67" s="14" t="s">
        <v>93</v>
      </c>
      <c r="AI67" s="14"/>
      <c r="AJ67" s="14"/>
      <c r="AK67" s="14"/>
      <c r="AL67" s="14"/>
      <c r="AM67" s="14"/>
      <c r="AN67" s="14"/>
    </row>
    <row r="68" spans="1:40" ht="51" x14ac:dyDescent="0.35">
      <c r="A68" s="14">
        <v>16</v>
      </c>
      <c r="B68" s="14" t="s">
        <v>348</v>
      </c>
      <c r="C68" s="14"/>
      <c r="D68" s="14"/>
      <c r="E68" s="14"/>
      <c r="F68" s="14"/>
      <c r="G68" s="14"/>
      <c r="H68" s="14">
        <v>30</v>
      </c>
      <c r="I68" s="14" t="s">
        <v>349</v>
      </c>
      <c r="J68" s="14"/>
      <c r="K68" s="14" t="s">
        <v>350</v>
      </c>
      <c r="L68" s="14"/>
      <c r="M68" s="14"/>
      <c r="N68" s="14"/>
      <c r="O68" s="14"/>
      <c r="P68" s="14" t="s">
        <v>70</v>
      </c>
      <c r="Q68" s="14" t="s">
        <v>41</v>
      </c>
      <c r="R68" s="14" t="s">
        <v>264</v>
      </c>
      <c r="S68" s="14" t="s">
        <v>364</v>
      </c>
      <c r="T68" s="14" t="s">
        <v>364</v>
      </c>
      <c r="U68" s="14" t="s">
        <v>372</v>
      </c>
      <c r="V68" s="14" t="s">
        <v>45</v>
      </c>
      <c r="W68" s="14" t="s">
        <v>366</v>
      </c>
      <c r="X68" s="14" t="s">
        <v>367</v>
      </c>
      <c r="Y68" s="14" t="s">
        <v>373</v>
      </c>
      <c r="Z68" s="14" t="s">
        <v>374</v>
      </c>
      <c r="AA68" s="14" t="s">
        <v>370</v>
      </c>
      <c r="AB68" s="14" t="s">
        <v>375</v>
      </c>
      <c r="AC68" s="14" t="s">
        <v>80</v>
      </c>
      <c r="AD68" s="20" t="s">
        <v>38</v>
      </c>
      <c r="AE68" s="14">
        <v>28</v>
      </c>
      <c r="AF68" s="20" t="s">
        <v>371</v>
      </c>
      <c r="AG68" s="14"/>
      <c r="AH68" s="14" t="s">
        <v>93</v>
      </c>
      <c r="AI68" s="14"/>
      <c r="AJ68" s="14"/>
      <c r="AK68" s="14"/>
      <c r="AL68" s="14"/>
      <c r="AM68" s="14"/>
      <c r="AN68" s="14"/>
    </row>
    <row r="69" spans="1:40" ht="51" x14ac:dyDescent="0.35">
      <c r="A69" s="14">
        <v>16</v>
      </c>
      <c r="B69" s="14" t="s">
        <v>348</v>
      </c>
      <c r="C69" s="14"/>
      <c r="D69" s="14"/>
      <c r="E69" s="14"/>
      <c r="F69" s="14"/>
      <c r="G69" s="14"/>
      <c r="H69" s="14">
        <v>30</v>
      </c>
      <c r="I69" s="14" t="s">
        <v>349</v>
      </c>
      <c r="J69" s="14"/>
      <c r="K69" s="14" t="s">
        <v>350</v>
      </c>
      <c r="L69" s="14"/>
      <c r="M69" s="14"/>
      <c r="N69" s="14"/>
      <c r="O69" s="14"/>
      <c r="P69" s="14" t="s">
        <v>70</v>
      </c>
      <c r="Q69" s="14" t="s">
        <v>41</v>
      </c>
      <c r="R69" s="14" t="s">
        <v>264</v>
      </c>
      <c r="S69" s="14" t="s">
        <v>364</v>
      </c>
      <c r="T69" s="14" t="s">
        <v>364</v>
      </c>
      <c r="U69" s="14" t="s">
        <v>376</v>
      </c>
      <c r="V69" s="14" t="s">
        <v>45</v>
      </c>
      <c r="W69" s="14" t="s">
        <v>366</v>
      </c>
      <c r="X69" s="14" t="s">
        <v>367</v>
      </c>
      <c r="Y69" s="14" t="s">
        <v>373</v>
      </c>
      <c r="Z69" s="14" t="s">
        <v>374</v>
      </c>
      <c r="AA69" s="14" t="s">
        <v>368</v>
      </c>
      <c r="AB69" s="14" t="s">
        <v>369</v>
      </c>
      <c r="AC69" s="14" t="s">
        <v>80</v>
      </c>
      <c r="AD69" s="20" t="s">
        <v>38</v>
      </c>
      <c r="AE69" s="14">
        <v>28</v>
      </c>
      <c r="AF69" s="20" t="s">
        <v>371</v>
      </c>
      <c r="AG69" s="14"/>
      <c r="AH69" s="14" t="s">
        <v>93</v>
      </c>
      <c r="AI69" s="14"/>
      <c r="AJ69" s="14"/>
      <c r="AK69" s="14"/>
      <c r="AL69" s="14"/>
      <c r="AM69" s="14"/>
      <c r="AN69" s="14"/>
    </row>
    <row r="70" spans="1:40" ht="12.75" x14ac:dyDescent="0.35">
      <c r="A70" s="21">
        <v>18</v>
      </c>
      <c r="B70" s="21" t="s">
        <v>377</v>
      </c>
      <c r="C70" s="21"/>
      <c r="D70" s="21"/>
      <c r="E70" s="21"/>
      <c r="F70" s="21"/>
      <c r="G70" s="21"/>
      <c r="H70" s="21">
        <v>48</v>
      </c>
      <c r="I70" s="21" t="s">
        <v>38</v>
      </c>
      <c r="J70" s="21" t="s">
        <v>378</v>
      </c>
      <c r="K70" s="21">
        <v>75</v>
      </c>
      <c r="L70" s="21"/>
      <c r="M70" s="21"/>
      <c r="N70" s="21"/>
      <c r="O70" s="21"/>
      <c r="P70" s="21" t="s">
        <v>379</v>
      </c>
      <c r="Q70" s="21" t="s">
        <v>41</v>
      </c>
      <c r="R70" s="21" t="s">
        <v>380</v>
      </c>
      <c r="S70" s="21" t="s">
        <v>381</v>
      </c>
      <c r="T70" s="21" t="s">
        <v>382</v>
      </c>
      <c r="U70" s="21" t="s">
        <v>383</v>
      </c>
      <c r="V70" s="21" t="s">
        <v>384</v>
      </c>
      <c r="W70" s="21" t="s">
        <v>38</v>
      </c>
      <c r="X70" s="21" t="s">
        <v>385</v>
      </c>
      <c r="Y70" s="22" t="s">
        <v>38</v>
      </c>
      <c r="Z70" s="22" t="s">
        <v>38</v>
      </c>
      <c r="AA70" s="22" t="s">
        <v>38</v>
      </c>
      <c r="AB70" s="22" t="s">
        <v>38</v>
      </c>
      <c r="AC70" s="21" t="s">
        <v>181</v>
      </c>
      <c r="AD70" s="23">
        <v>0.94</v>
      </c>
      <c r="AE70" s="24" t="s">
        <v>386</v>
      </c>
      <c r="AF70" s="25">
        <v>0.39</v>
      </c>
      <c r="AG70" s="26" t="s">
        <v>387</v>
      </c>
      <c r="AH70" s="21"/>
      <c r="AI70" s="27"/>
      <c r="AJ70" s="27"/>
      <c r="AK70" s="27"/>
      <c r="AL70" s="21"/>
      <c r="AM70" s="21"/>
      <c r="AN70" s="21"/>
    </row>
    <row r="71" spans="1:40" ht="12.75" x14ac:dyDescent="0.35">
      <c r="A71" s="21">
        <v>18</v>
      </c>
      <c r="B71" s="21" t="s">
        <v>377</v>
      </c>
      <c r="C71" s="21"/>
      <c r="D71" s="21"/>
      <c r="E71" s="21"/>
      <c r="F71" s="21"/>
      <c r="G71" s="21"/>
      <c r="H71" s="21">
        <v>48</v>
      </c>
      <c r="I71" s="21" t="s">
        <v>38</v>
      </c>
      <c r="J71" s="21" t="s">
        <v>378</v>
      </c>
      <c r="K71" s="21">
        <v>75</v>
      </c>
      <c r="L71" s="21"/>
      <c r="M71" s="21"/>
      <c r="N71" s="21"/>
      <c r="O71" s="21"/>
      <c r="P71" s="21" t="s">
        <v>379</v>
      </c>
      <c r="Q71" s="21" t="s">
        <v>41</v>
      </c>
      <c r="R71" s="21" t="s">
        <v>380</v>
      </c>
      <c r="S71" s="21" t="s">
        <v>388</v>
      </c>
      <c r="T71" s="21" t="s">
        <v>389</v>
      </c>
      <c r="U71" s="21" t="s">
        <v>390</v>
      </c>
      <c r="V71" s="21" t="s">
        <v>45</v>
      </c>
      <c r="W71" s="21" t="s">
        <v>391</v>
      </c>
      <c r="X71" s="21" t="s">
        <v>392</v>
      </c>
      <c r="Y71" s="22" t="s">
        <v>38</v>
      </c>
      <c r="Z71" s="22" t="s">
        <v>38</v>
      </c>
      <c r="AA71" s="22" t="s">
        <v>38</v>
      </c>
      <c r="AB71" s="22" t="s">
        <v>38</v>
      </c>
      <c r="AC71" s="21" t="s">
        <v>181</v>
      </c>
      <c r="AD71" s="23">
        <v>3.46</v>
      </c>
      <c r="AE71" s="24" t="s">
        <v>386</v>
      </c>
      <c r="AF71" s="25" t="s">
        <v>393</v>
      </c>
      <c r="AG71" s="21"/>
      <c r="AH71" s="21"/>
      <c r="AI71" s="27"/>
      <c r="AJ71" s="27"/>
      <c r="AK71" s="27"/>
      <c r="AL71" s="21"/>
      <c r="AM71" s="21"/>
      <c r="AN71" s="21"/>
    </row>
    <row r="72" spans="1:40" ht="25.5" x14ac:dyDescent="0.35">
      <c r="A72" s="21">
        <v>18</v>
      </c>
      <c r="B72" s="21" t="s">
        <v>377</v>
      </c>
      <c r="C72" s="21"/>
      <c r="D72" s="21"/>
      <c r="E72" s="21"/>
      <c r="F72" s="21"/>
      <c r="G72" s="21"/>
      <c r="H72" s="21">
        <v>48</v>
      </c>
      <c r="I72" s="21" t="s">
        <v>38</v>
      </c>
      <c r="J72" s="21" t="s">
        <v>378</v>
      </c>
      <c r="K72" s="21">
        <v>75</v>
      </c>
      <c r="L72" s="21"/>
      <c r="M72" s="21"/>
      <c r="N72" s="21"/>
      <c r="O72" s="21"/>
      <c r="P72" s="21" t="s">
        <v>379</v>
      </c>
      <c r="Q72" s="21" t="s">
        <v>41</v>
      </c>
      <c r="R72" s="21" t="s">
        <v>380</v>
      </c>
      <c r="S72" s="21" t="s">
        <v>388</v>
      </c>
      <c r="T72" s="21" t="s">
        <v>389</v>
      </c>
      <c r="U72" s="14" t="s">
        <v>394</v>
      </c>
      <c r="V72" s="21" t="s">
        <v>45</v>
      </c>
      <c r="W72" s="21" t="s">
        <v>395</v>
      </c>
      <c r="X72" s="21" t="s">
        <v>396</v>
      </c>
      <c r="Y72" s="22"/>
      <c r="Z72" s="22" t="s">
        <v>38</v>
      </c>
      <c r="AA72" s="22" t="s">
        <v>38</v>
      </c>
      <c r="AB72" s="22" t="s">
        <v>38</v>
      </c>
      <c r="AC72" s="21" t="s">
        <v>181</v>
      </c>
      <c r="AD72" s="23">
        <v>2.99</v>
      </c>
      <c r="AE72" s="24" t="s">
        <v>397</v>
      </c>
      <c r="AF72" s="27">
        <v>5.0999999999999997E-2</v>
      </c>
      <c r="AG72" s="26"/>
      <c r="AH72" s="21"/>
      <c r="AI72" s="27"/>
      <c r="AJ72" s="27"/>
      <c r="AK72" s="27"/>
      <c r="AL72" s="21"/>
      <c r="AM72" s="21"/>
      <c r="AN72" s="21"/>
    </row>
    <row r="73" spans="1:40" ht="12.75" x14ac:dyDescent="0.35">
      <c r="A73" s="21">
        <v>19</v>
      </c>
      <c r="B73" s="21" t="s">
        <v>398</v>
      </c>
      <c r="C73" s="21"/>
      <c r="D73" s="21"/>
      <c r="E73" s="21"/>
      <c r="F73" s="21"/>
      <c r="G73" s="21"/>
      <c r="H73" s="21">
        <v>25</v>
      </c>
      <c r="I73" s="21" t="s">
        <v>399</v>
      </c>
      <c r="J73" s="21"/>
      <c r="K73" s="21">
        <v>52</v>
      </c>
      <c r="L73" s="21"/>
      <c r="M73" s="21"/>
      <c r="N73" s="21"/>
      <c r="O73" s="21"/>
      <c r="P73" s="21" t="s">
        <v>400</v>
      </c>
      <c r="Q73" s="21" t="s">
        <v>41</v>
      </c>
      <c r="R73" s="21" t="s">
        <v>333</v>
      </c>
      <c r="S73" s="21" t="s">
        <v>401</v>
      </c>
      <c r="T73" s="21" t="s">
        <v>402</v>
      </c>
      <c r="U73" s="21" t="s">
        <v>403</v>
      </c>
      <c r="V73" s="21" t="s">
        <v>45</v>
      </c>
      <c r="W73" s="21" t="s">
        <v>404</v>
      </c>
      <c r="X73" s="21" t="s">
        <v>367</v>
      </c>
      <c r="Y73" s="22" t="s">
        <v>38</v>
      </c>
      <c r="Z73" s="22" t="s">
        <v>38</v>
      </c>
      <c r="AA73" s="22" t="s">
        <v>38</v>
      </c>
      <c r="AB73" s="22" t="s">
        <v>38</v>
      </c>
      <c r="AC73" s="21" t="s">
        <v>181</v>
      </c>
      <c r="AD73" s="23">
        <v>0</v>
      </c>
      <c r="AE73" s="24" t="s">
        <v>405</v>
      </c>
      <c r="AF73" s="20">
        <v>0.95599999999999996</v>
      </c>
      <c r="AG73" s="26" t="s">
        <v>406</v>
      </c>
      <c r="AH73" s="21"/>
      <c r="AI73" s="27"/>
      <c r="AJ73" s="27"/>
      <c r="AK73" s="27"/>
      <c r="AL73" s="21"/>
      <c r="AM73" s="21"/>
      <c r="AN73" s="21"/>
    </row>
    <row r="74" spans="1:40" ht="51" x14ac:dyDescent="0.35">
      <c r="A74" s="14">
        <v>19</v>
      </c>
      <c r="B74" s="14" t="s">
        <v>398</v>
      </c>
      <c r="C74" s="14"/>
      <c r="D74" s="14"/>
      <c r="E74" s="14"/>
      <c r="F74" s="14"/>
      <c r="G74" s="14"/>
      <c r="H74" s="14">
        <v>25</v>
      </c>
      <c r="I74" s="14" t="s">
        <v>399</v>
      </c>
      <c r="J74" s="14"/>
      <c r="K74" s="14">
        <v>52</v>
      </c>
      <c r="L74" s="14"/>
      <c r="M74" s="14"/>
      <c r="N74" s="14"/>
      <c r="O74" s="14"/>
      <c r="P74" s="14" t="s">
        <v>400</v>
      </c>
      <c r="Q74" s="14" t="s">
        <v>41</v>
      </c>
      <c r="R74" s="14" t="s">
        <v>333</v>
      </c>
      <c r="S74" s="14" t="s">
        <v>401</v>
      </c>
      <c r="T74" s="14" t="s">
        <v>402</v>
      </c>
      <c r="U74" s="14" t="s">
        <v>407</v>
      </c>
      <c r="V74" s="14" t="s">
        <v>45</v>
      </c>
      <c r="W74" s="14" t="s">
        <v>408</v>
      </c>
      <c r="X74" s="14" t="s">
        <v>409</v>
      </c>
      <c r="Y74" s="20" t="s">
        <v>38</v>
      </c>
      <c r="Z74" s="20" t="s">
        <v>38</v>
      </c>
      <c r="AA74" s="20" t="s">
        <v>38</v>
      </c>
      <c r="AB74" s="20" t="s">
        <v>38</v>
      </c>
      <c r="AC74" s="14" t="s">
        <v>181</v>
      </c>
      <c r="AD74" s="28">
        <v>5.68</v>
      </c>
      <c r="AE74" s="29" t="s">
        <v>405</v>
      </c>
      <c r="AF74" s="20">
        <v>2.5000000000000001E-2</v>
      </c>
      <c r="AG74" s="16"/>
      <c r="AH74" s="14"/>
      <c r="AI74" s="30"/>
      <c r="AJ74" s="30"/>
      <c r="AK74" s="30"/>
      <c r="AL74" s="14"/>
      <c r="AM74" s="14"/>
      <c r="AN74" s="14"/>
    </row>
    <row r="75" spans="1:40" ht="370.9" x14ac:dyDescent="0.35">
      <c r="A75" s="31">
        <v>20</v>
      </c>
      <c r="B75" s="31" t="s">
        <v>410</v>
      </c>
      <c r="C75" s="14"/>
      <c r="D75" s="14"/>
      <c r="E75" s="14"/>
      <c r="F75" s="14"/>
      <c r="G75" s="14"/>
      <c r="H75" s="14">
        <v>9</v>
      </c>
      <c r="I75" s="14" t="s">
        <v>411</v>
      </c>
      <c r="J75" s="14"/>
      <c r="K75" s="14" t="s">
        <v>412</v>
      </c>
      <c r="L75" s="14"/>
      <c r="M75" s="14"/>
      <c r="N75" s="14"/>
      <c r="O75" s="14"/>
      <c r="P75" s="14" t="s">
        <v>413</v>
      </c>
      <c r="Q75" s="14" t="s">
        <v>41</v>
      </c>
      <c r="R75" s="14" t="s">
        <v>414</v>
      </c>
      <c r="S75" s="14" t="s">
        <v>415</v>
      </c>
      <c r="T75" s="14" t="s">
        <v>38</v>
      </c>
      <c r="U75" s="14" t="s">
        <v>416</v>
      </c>
      <c r="V75" s="14" t="s">
        <v>417</v>
      </c>
      <c r="W75" s="14" t="s">
        <v>418</v>
      </c>
      <c r="X75" s="14" t="s">
        <v>419</v>
      </c>
      <c r="Y75" s="14" t="s">
        <v>420</v>
      </c>
      <c r="Z75" s="14" t="s">
        <v>421</v>
      </c>
      <c r="AA75" s="14" t="s">
        <v>422</v>
      </c>
      <c r="AB75" s="14" t="s">
        <v>423</v>
      </c>
      <c r="AC75" s="14" t="s">
        <v>80</v>
      </c>
      <c r="AD75" s="20">
        <v>4079</v>
      </c>
      <c r="AE75" s="14">
        <v>8</v>
      </c>
      <c r="AF75" s="12">
        <v>4.0000000000000001E-3</v>
      </c>
      <c r="AG75" s="16" t="s">
        <v>424</v>
      </c>
      <c r="AH75" s="14"/>
      <c r="AI75" s="14"/>
      <c r="AJ75" s="14"/>
      <c r="AK75" s="14"/>
      <c r="AL75" s="14"/>
      <c r="AM75" s="14"/>
      <c r="AN75" s="14"/>
    </row>
    <row r="76" spans="1:40" ht="140.25" x14ac:dyDescent="0.35">
      <c r="A76" s="31">
        <v>20</v>
      </c>
      <c r="B76" s="31" t="s">
        <v>410</v>
      </c>
      <c r="C76" s="14"/>
      <c r="D76" s="14"/>
      <c r="E76" s="14"/>
      <c r="F76" s="14"/>
      <c r="G76" s="14"/>
      <c r="H76" s="14">
        <v>9</v>
      </c>
      <c r="I76" s="14" t="s">
        <v>411</v>
      </c>
      <c r="J76" s="14"/>
      <c r="K76" s="14" t="s">
        <v>412</v>
      </c>
      <c r="L76" s="14"/>
      <c r="M76" s="14"/>
      <c r="N76" s="14"/>
      <c r="O76" s="14"/>
      <c r="P76" s="14" t="s">
        <v>413</v>
      </c>
      <c r="Q76" s="14" t="s">
        <v>41</v>
      </c>
      <c r="R76" s="14" t="s">
        <v>414</v>
      </c>
      <c r="S76" s="14" t="s">
        <v>415</v>
      </c>
      <c r="T76" s="14" t="s">
        <v>38</v>
      </c>
      <c r="U76" s="14" t="s">
        <v>425</v>
      </c>
      <c r="V76" s="14" t="s">
        <v>417</v>
      </c>
      <c r="W76" s="14" t="s">
        <v>418</v>
      </c>
      <c r="X76" s="14" t="s">
        <v>419</v>
      </c>
      <c r="Y76" s="14" t="s">
        <v>420</v>
      </c>
      <c r="Z76" s="14" t="s">
        <v>421</v>
      </c>
      <c r="AA76" s="14" t="s">
        <v>426</v>
      </c>
      <c r="AB76" s="14" t="s">
        <v>427</v>
      </c>
      <c r="AC76" s="14" t="s">
        <v>80</v>
      </c>
      <c r="AD76" s="20">
        <v>2936</v>
      </c>
      <c r="AE76" s="14">
        <v>8</v>
      </c>
      <c r="AF76" s="12">
        <v>1.9E-2</v>
      </c>
      <c r="AG76" s="14"/>
      <c r="AH76" s="14"/>
      <c r="AI76" s="14"/>
      <c r="AJ76" s="14"/>
      <c r="AK76" s="14"/>
      <c r="AL76" s="14"/>
      <c r="AM76" s="14"/>
      <c r="AN76" s="14"/>
    </row>
    <row r="77" spans="1:40" ht="140.25" x14ac:dyDescent="0.35">
      <c r="A77" s="31">
        <v>20</v>
      </c>
      <c r="B77" s="31" t="s">
        <v>410</v>
      </c>
      <c r="C77" s="14"/>
      <c r="D77" s="14"/>
      <c r="E77" s="14"/>
      <c r="F77" s="14"/>
      <c r="G77" s="14"/>
      <c r="H77" s="14">
        <v>9</v>
      </c>
      <c r="I77" s="14" t="s">
        <v>411</v>
      </c>
      <c r="J77" s="14"/>
      <c r="K77" s="14" t="s">
        <v>412</v>
      </c>
      <c r="L77" s="14"/>
      <c r="M77" s="14"/>
      <c r="N77" s="14"/>
      <c r="O77" s="14"/>
      <c r="P77" s="14" t="s">
        <v>413</v>
      </c>
      <c r="Q77" s="14" t="s">
        <v>41</v>
      </c>
      <c r="R77" s="14" t="s">
        <v>414</v>
      </c>
      <c r="S77" s="14" t="s">
        <v>415</v>
      </c>
      <c r="T77" s="14" t="s">
        <v>38</v>
      </c>
      <c r="U77" s="14" t="s">
        <v>428</v>
      </c>
      <c r="V77" s="14" t="s">
        <v>417</v>
      </c>
      <c r="W77" s="14" t="s">
        <v>418</v>
      </c>
      <c r="X77" s="14" t="s">
        <v>419</v>
      </c>
      <c r="Y77" s="14" t="s">
        <v>429</v>
      </c>
      <c r="Z77" s="14" t="s">
        <v>114</v>
      </c>
      <c r="AA77" s="14" t="s">
        <v>430</v>
      </c>
      <c r="AB77" s="14" t="s">
        <v>431</v>
      </c>
      <c r="AC77" s="14" t="s">
        <v>80</v>
      </c>
      <c r="AD77" s="20" t="s">
        <v>432</v>
      </c>
      <c r="AE77" s="14">
        <v>8</v>
      </c>
      <c r="AF77" s="12">
        <v>1.0999999999999999E-2</v>
      </c>
      <c r="AG77" s="14"/>
      <c r="AH77" s="14"/>
      <c r="AI77" s="14"/>
      <c r="AJ77" s="14"/>
      <c r="AK77" s="14"/>
      <c r="AL77" s="14"/>
      <c r="AM77" s="14"/>
      <c r="AN77" s="14"/>
    </row>
    <row r="78" spans="1:40" ht="140.25" x14ac:dyDescent="0.35">
      <c r="A78" s="31">
        <v>20</v>
      </c>
      <c r="B78" s="31" t="s">
        <v>410</v>
      </c>
      <c r="C78" s="14"/>
      <c r="D78" s="14"/>
      <c r="E78" s="14"/>
      <c r="F78" s="14"/>
      <c r="G78" s="14"/>
      <c r="H78" s="14">
        <v>9</v>
      </c>
      <c r="I78" s="14" t="s">
        <v>411</v>
      </c>
      <c r="J78" s="14"/>
      <c r="K78" s="14" t="s">
        <v>412</v>
      </c>
      <c r="L78" s="14"/>
      <c r="M78" s="14"/>
      <c r="N78" s="14"/>
      <c r="O78" s="14"/>
      <c r="P78" s="14" t="s">
        <v>413</v>
      </c>
      <c r="Q78" s="14" t="s">
        <v>41</v>
      </c>
      <c r="R78" s="14" t="s">
        <v>414</v>
      </c>
      <c r="S78" s="14" t="s">
        <v>415</v>
      </c>
      <c r="T78" s="14" t="s">
        <v>38</v>
      </c>
      <c r="U78" s="14" t="s">
        <v>433</v>
      </c>
      <c r="V78" s="14" t="s">
        <v>417</v>
      </c>
      <c r="W78" s="14" t="s">
        <v>418</v>
      </c>
      <c r="X78" s="14" t="s">
        <v>419</v>
      </c>
      <c r="Y78" s="14" t="s">
        <v>429</v>
      </c>
      <c r="Z78" s="14" t="s">
        <v>114</v>
      </c>
      <c r="AA78" s="14" t="s">
        <v>426</v>
      </c>
      <c r="AB78" s="14" t="s">
        <v>427</v>
      </c>
      <c r="AC78" s="14" t="s">
        <v>80</v>
      </c>
      <c r="AD78" s="20">
        <v>3815</v>
      </c>
      <c r="AE78" s="14">
        <v>8</v>
      </c>
      <c r="AF78" s="12">
        <v>5.0000000000000001E-3</v>
      </c>
      <c r="AG78" s="14"/>
      <c r="AH78" s="14"/>
      <c r="AI78" s="14"/>
      <c r="AJ78" s="14"/>
      <c r="AK78" s="14"/>
      <c r="AL78" s="14"/>
      <c r="AM78" s="14"/>
      <c r="AN78" s="14"/>
    </row>
    <row r="79" spans="1:40" ht="409.5" x14ac:dyDescent="0.35">
      <c r="A79" s="5">
        <v>21</v>
      </c>
      <c r="B79" s="5" t="s">
        <v>434</v>
      </c>
      <c r="C79" s="5"/>
      <c r="D79" s="5"/>
      <c r="E79" s="5"/>
      <c r="F79" s="5"/>
      <c r="G79" s="5"/>
      <c r="H79" s="5">
        <v>20</v>
      </c>
      <c r="I79" s="5"/>
      <c r="J79" s="5" t="s">
        <v>435</v>
      </c>
      <c r="K79" s="5">
        <v>55</v>
      </c>
      <c r="L79" s="5"/>
      <c r="M79" s="5"/>
      <c r="N79" s="5"/>
      <c r="O79" s="5"/>
      <c r="P79" s="5" t="s">
        <v>436</v>
      </c>
      <c r="Q79" s="5" t="s">
        <v>41</v>
      </c>
      <c r="R79" s="5" t="s">
        <v>437</v>
      </c>
      <c r="S79" s="5" t="s">
        <v>438</v>
      </c>
      <c r="T79" s="5" t="s">
        <v>73</v>
      </c>
      <c r="U79" s="5" t="s">
        <v>439</v>
      </c>
      <c r="V79" s="5" t="s">
        <v>440</v>
      </c>
      <c r="W79" s="5" t="s">
        <v>441</v>
      </c>
      <c r="X79" s="5" t="s">
        <v>442</v>
      </c>
      <c r="Y79" s="10">
        <v>-18</v>
      </c>
      <c r="Z79" s="5" t="s">
        <v>443</v>
      </c>
      <c r="AA79" s="5" t="s">
        <v>444</v>
      </c>
      <c r="AB79" s="5" t="s">
        <v>445</v>
      </c>
      <c r="AC79" s="5" t="s">
        <v>80</v>
      </c>
      <c r="AD79" s="8" t="s">
        <v>38</v>
      </c>
      <c r="AE79" s="5" t="s">
        <v>38</v>
      </c>
      <c r="AF79" s="8" t="s">
        <v>446</v>
      </c>
      <c r="AG79" s="4" t="s">
        <v>447</v>
      </c>
      <c r="AH79" s="5" t="s">
        <v>93</v>
      </c>
      <c r="AI79" s="5"/>
      <c r="AJ79" s="5"/>
      <c r="AK79" s="5"/>
      <c r="AL79" s="5"/>
      <c r="AM79" s="5"/>
      <c r="AN79" s="5"/>
    </row>
    <row r="80" spans="1:40" ht="63.75" x14ac:dyDescent="0.35">
      <c r="A80" s="5">
        <v>21</v>
      </c>
      <c r="B80" s="5" t="s">
        <v>434</v>
      </c>
      <c r="C80" s="5"/>
      <c r="D80" s="5"/>
      <c r="E80" s="5"/>
      <c r="F80" s="5"/>
      <c r="G80" s="5"/>
      <c r="H80" s="5">
        <v>20</v>
      </c>
      <c r="I80" s="5"/>
      <c r="J80" s="5" t="s">
        <v>435</v>
      </c>
      <c r="K80" s="5">
        <v>55</v>
      </c>
      <c r="L80" s="5"/>
      <c r="M80" s="5"/>
      <c r="N80" s="5"/>
      <c r="O80" s="5"/>
      <c r="P80" s="5" t="s">
        <v>436</v>
      </c>
      <c r="Q80" s="5" t="s">
        <v>41</v>
      </c>
      <c r="R80" s="5" t="s">
        <v>437</v>
      </c>
      <c r="S80" s="5" t="s">
        <v>438</v>
      </c>
      <c r="T80" s="5" t="s">
        <v>73</v>
      </c>
      <c r="U80" s="5" t="s">
        <v>448</v>
      </c>
      <c r="V80" s="5" t="s">
        <v>440</v>
      </c>
      <c r="W80" s="5" t="s">
        <v>441</v>
      </c>
      <c r="X80" s="5" t="s">
        <v>442</v>
      </c>
      <c r="Y80" s="5" t="s">
        <v>449</v>
      </c>
      <c r="Z80" s="5" t="s">
        <v>450</v>
      </c>
      <c r="AA80" s="5" t="s">
        <v>451</v>
      </c>
      <c r="AB80" s="5" t="s">
        <v>452</v>
      </c>
      <c r="AC80" s="5" t="s">
        <v>80</v>
      </c>
      <c r="AD80" s="8" t="s">
        <v>38</v>
      </c>
      <c r="AE80" s="5" t="s">
        <v>38</v>
      </c>
      <c r="AF80" s="8" t="s">
        <v>453</v>
      </c>
      <c r="AG80" s="4"/>
      <c r="AH80" s="5" t="s">
        <v>93</v>
      </c>
      <c r="AI80" s="5"/>
      <c r="AJ80" s="5"/>
      <c r="AK80" s="5"/>
      <c r="AL80" s="5"/>
      <c r="AM80" s="5"/>
      <c r="AN80" s="5"/>
    </row>
    <row r="81" spans="1:40" ht="63.75" x14ac:dyDescent="0.35">
      <c r="A81" s="5">
        <v>21</v>
      </c>
      <c r="B81" s="5" t="s">
        <v>434</v>
      </c>
      <c r="C81" s="5"/>
      <c r="D81" s="5"/>
      <c r="E81" s="5"/>
      <c r="F81" s="5"/>
      <c r="G81" s="5"/>
      <c r="H81" s="5">
        <v>20</v>
      </c>
      <c r="I81" s="5"/>
      <c r="J81" s="5" t="s">
        <v>435</v>
      </c>
      <c r="K81" s="5">
        <v>55</v>
      </c>
      <c r="L81" s="5"/>
      <c r="M81" s="5"/>
      <c r="N81" s="5"/>
      <c r="O81" s="5"/>
      <c r="P81" s="5" t="s">
        <v>436</v>
      </c>
      <c r="Q81" s="5"/>
      <c r="R81" s="5" t="s">
        <v>437</v>
      </c>
      <c r="S81" s="5"/>
      <c r="T81" s="5"/>
      <c r="U81" s="5" t="s">
        <v>454</v>
      </c>
      <c r="V81" s="5" t="s">
        <v>455</v>
      </c>
      <c r="W81" s="5"/>
      <c r="X81" s="5" t="s">
        <v>456</v>
      </c>
      <c r="Y81" s="5">
        <v>-5.23</v>
      </c>
      <c r="Z81" s="5">
        <v>29</v>
      </c>
      <c r="AA81" s="5">
        <v>-9.39</v>
      </c>
      <c r="AB81" s="5">
        <v>18</v>
      </c>
      <c r="AC81" s="5" t="s">
        <v>80</v>
      </c>
      <c r="AD81" s="8" t="s">
        <v>38</v>
      </c>
      <c r="AE81" s="5" t="s">
        <v>38</v>
      </c>
      <c r="AF81" s="8">
        <v>0.28999999999999998</v>
      </c>
      <c r="AG81" s="4"/>
      <c r="AH81" s="5" t="s">
        <v>93</v>
      </c>
      <c r="AI81" s="5"/>
      <c r="AJ81" s="5"/>
      <c r="AK81" s="5"/>
      <c r="AL81" s="5"/>
      <c r="AM81" s="5"/>
      <c r="AN81" s="5"/>
    </row>
    <row r="82" spans="1:40" ht="409.5" x14ac:dyDescent="0.35">
      <c r="A82" s="5">
        <v>23</v>
      </c>
      <c r="B82" s="5" t="s">
        <v>457</v>
      </c>
      <c r="C82" s="5"/>
      <c r="D82" s="5"/>
      <c r="E82" s="5"/>
      <c r="F82" s="5"/>
      <c r="G82" s="5"/>
      <c r="H82" s="5">
        <v>16</v>
      </c>
      <c r="I82" s="5">
        <v>25</v>
      </c>
      <c r="J82" s="5"/>
      <c r="K82" s="5">
        <v>50</v>
      </c>
      <c r="L82" s="5"/>
      <c r="M82" s="5"/>
      <c r="N82" s="5"/>
      <c r="O82" s="5"/>
      <c r="P82" s="5" t="s">
        <v>70</v>
      </c>
      <c r="Q82" s="5" t="s">
        <v>41</v>
      </c>
      <c r="R82" s="5" t="s">
        <v>458</v>
      </c>
      <c r="S82" s="5" t="s">
        <v>459</v>
      </c>
      <c r="T82" s="5" t="s">
        <v>177</v>
      </c>
      <c r="U82" s="5" t="s">
        <v>460</v>
      </c>
      <c r="V82" s="5" t="s">
        <v>45</v>
      </c>
      <c r="W82" s="5" t="s">
        <v>461</v>
      </c>
      <c r="X82" s="5" t="s">
        <v>442</v>
      </c>
      <c r="Y82" s="5" t="s">
        <v>38</v>
      </c>
      <c r="Z82" s="5" t="s">
        <v>38</v>
      </c>
      <c r="AA82" s="5" t="s">
        <v>38</v>
      </c>
      <c r="AB82" s="5" t="s">
        <v>38</v>
      </c>
      <c r="AC82" s="5" t="s">
        <v>462</v>
      </c>
      <c r="AD82" s="8">
        <v>1101</v>
      </c>
      <c r="AE82" s="11">
        <v>45672</v>
      </c>
      <c r="AF82" s="8" t="s">
        <v>125</v>
      </c>
      <c r="AG82" s="4" t="s">
        <v>463</v>
      </c>
      <c r="AH82" s="5"/>
      <c r="AI82" s="5"/>
      <c r="AJ82" s="5"/>
      <c r="AK82" s="5"/>
      <c r="AL82" s="5"/>
      <c r="AM82" s="5"/>
      <c r="AN82" s="5"/>
    </row>
    <row r="83" spans="1:40" ht="140.25" x14ac:dyDescent="0.35">
      <c r="A83" s="5">
        <v>23</v>
      </c>
      <c r="B83" s="5" t="s">
        <v>457</v>
      </c>
      <c r="C83" s="5"/>
      <c r="D83" s="5"/>
      <c r="E83" s="5"/>
      <c r="F83" s="5"/>
      <c r="G83" s="5"/>
      <c r="H83" s="5">
        <v>20</v>
      </c>
      <c r="I83" s="5" t="s">
        <v>38</v>
      </c>
      <c r="J83" s="5"/>
      <c r="K83" s="5" t="s">
        <v>38</v>
      </c>
      <c r="L83" s="5"/>
      <c r="M83" s="5"/>
      <c r="N83" s="5"/>
      <c r="O83" s="5"/>
      <c r="P83" s="5" t="s">
        <v>70</v>
      </c>
      <c r="Q83" s="5" t="s">
        <v>41</v>
      </c>
      <c r="R83" s="5" t="s">
        <v>458</v>
      </c>
      <c r="S83" s="5" t="s">
        <v>464</v>
      </c>
      <c r="T83" s="5" t="s">
        <v>38</v>
      </c>
      <c r="U83" s="5" t="s">
        <v>465</v>
      </c>
      <c r="V83" s="5" t="s">
        <v>466</v>
      </c>
      <c r="W83" s="5" t="s">
        <v>467</v>
      </c>
      <c r="X83" s="5" t="s">
        <v>468</v>
      </c>
      <c r="Y83" s="5" t="s">
        <v>469</v>
      </c>
      <c r="Z83" s="5" t="s">
        <v>470</v>
      </c>
      <c r="AA83" s="5"/>
      <c r="AB83" s="5"/>
      <c r="AC83" s="5" t="s">
        <v>80</v>
      </c>
      <c r="AD83" s="8" t="s">
        <v>443</v>
      </c>
      <c r="AE83" s="5" t="s">
        <v>38</v>
      </c>
      <c r="AF83" s="8" t="s">
        <v>471</v>
      </c>
      <c r="AG83" s="4"/>
      <c r="AH83" s="5" t="s">
        <v>472</v>
      </c>
      <c r="AI83" s="5"/>
      <c r="AJ83" s="5"/>
      <c r="AK83" s="5"/>
      <c r="AL83" s="5"/>
      <c r="AM83" s="5"/>
      <c r="AN83" s="5"/>
    </row>
    <row r="84" spans="1:40" ht="140.25" x14ac:dyDescent="0.35">
      <c r="A84" s="5">
        <v>23</v>
      </c>
      <c r="B84" s="5" t="s">
        <v>457</v>
      </c>
      <c r="C84" s="5"/>
      <c r="D84" s="5"/>
      <c r="E84" s="5"/>
      <c r="F84" s="5"/>
      <c r="G84" s="5"/>
      <c r="H84" s="5">
        <v>20</v>
      </c>
      <c r="I84" s="5" t="s">
        <v>38</v>
      </c>
      <c r="J84" s="5"/>
      <c r="K84" s="5" t="s">
        <v>38</v>
      </c>
      <c r="L84" s="5"/>
      <c r="M84" s="5"/>
      <c r="N84" s="5"/>
      <c r="O84" s="5"/>
      <c r="P84" s="5" t="s">
        <v>70</v>
      </c>
      <c r="Q84" s="5" t="s">
        <v>41</v>
      </c>
      <c r="R84" s="5" t="s">
        <v>458</v>
      </c>
      <c r="S84" s="5" t="s">
        <v>464</v>
      </c>
      <c r="T84" s="5" t="s">
        <v>38</v>
      </c>
      <c r="U84" s="5" t="s">
        <v>473</v>
      </c>
      <c r="V84" s="5" t="s">
        <v>466</v>
      </c>
      <c r="W84" s="5" t="s">
        <v>467</v>
      </c>
      <c r="X84" s="5" t="s">
        <v>468</v>
      </c>
      <c r="Y84" s="5" t="s">
        <v>474</v>
      </c>
      <c r="Z84" s="5" t="s">
        <v>475</v>
      </c>
      <c r="AA84" s="5"/>
      <c r="AB84" s="5"/>
      <c r="AC84" s="5" t="s">
        <v>80</v>
      </c>
      <c r="AD84" s="8" t="s">
        <v>476</v>
      </c>
      <c r="AE84" s="5" t="s">
        <v>38</v>
      </c>
      <c r="AF84" s="8" t="s">
        <v>471</v>
      </c>
      <c r="AG84" s="4"/>
      <c r="AH84" s="5" t="s">
        <v>472</v>
      </c>
      <c r="AI84" s="5"/>
      <c r="AJ84" s="5"/>
      <c r="AK84" s="5"/>
      <c r="AL84" s="5"/>
      <c r="AM84" s="5"/>
      <c r="AN84" s="5"/>
    </row>
    <row r="85" spans="1:40" ht="140.25" x14ac:dyDescent="0.35">
      <c r="A85" s="5">
        <v>23</v>
      </c>
      <c r="B85" s="5" t="s">
        <v>457</v>
      </c>
      <c r="C85" s="5"/>
      <c r="D85" s="5"/>
      <c r="E85" s="5"/>
      <c r="F85" s="5"/>
      <c r="G85" s="5"/>
      <c r="H85" s="5">
        <v>20</v>
      </c>
      <c r="I85" s="5" t="s">
        <v>38</v>
      </c>
      <c r="J85" s="5"/>
      <c r="K85" s="5" t="s">
        <v>38</v>
      </c>
      <c r="L85" s="5"/>
      <c r="M85" s="5"/>
      <c r="N85" s="5"/>
      <c r="O85" s="5"/>
      <c r="P85" s="5" t="s">
        <v>70</v>
      </c>
      <c r="Q85" s="5" t="s">
        <v>41</v>
      </c>
      <c r="R85" s="5" t="s">
        <v>458</v>
      </c>
      <c r="S85" s="5" t="s">
        <v>464</v>
      </c>
      <c r="T85" s="5" t="s">
        <v>38</v>
      </c>
      <c r="U85" s="5" t="s">
        <v>477</v>
      </c>
      <c r="V85" s="5" t="s">
        <v>466</v>
      </c>
      <c r="W85" s="5" t="s">
        <v>467</v>
      </c>
      <c r="X85" s="5" t="s">
        <v>468</v>
      </c>
      <c r="Y85" s="5" t="s">
        <v>478</v>
      </c>
      <c r="Z85" s="5" t="s">
        <v>479</v>
      </c>
      <c r="AA85" s="5"/>
      <c r="AB85" s="5"/>
      <c r="AC85" s="5" t="s">
        <v>80</v>
      </c>
      <c r="AD85" s="8" t="s">
        <v>480</v>
      </c>
      <c r="AE85" s="5" t="s">
        <v>38</v>
      </c>
      <c r="AF85" s="8" t="s">
        <v>211</v>
      </c>
      <c r="AG85" s="4"/>
      <c r="AH85" s="5" t="s">
        <v>472</v>
      </c>
      <c r="AI85" s="5"/>
      <c r="AJ85" s="5"/>
      <c r="AK85" s="5"/>
      <c r="AL85" s="5"/>
      <c r="AM85" s="5"/>
      <c r="AN85" s="5"/>
    </row>
    <row r="86" spans="1:40" ht="140.25" x14ac:dyDescent="0.35">
      <c r="A86" s="5">
        <v>23</v>
      </c>
      <c r="B86" s="5" t="s">
        <v>457</v>
      </c>
      <c r="C86" s="5"/>
      <c r="D86" s="5"/>
      <c r="E86" s="5"/>
      <c r="F86" s="5"/>
      <c r="G86" s="5"/>
      <c r="H86" s="5">
        <v>20</v>
      </c>
      <c r="I86" s="5" t="s">
        <v>38</v>
      </c>
      <c r="J86" s="5"/>
      <c r="K86" s="5" t="s">
        <v>38</v>
      </c>
      <c r="L86" s="5"/>
      <c r="M86" s="5"/>
      <c r="N86" s="5"/>
      <c r="O86" s="5"/>
      <c r="P86" s="5" t="s">
        <v>70</v>
      </c>
      <c r="Q86" s="5" t="s">
        <v>41</v>
      </c>
      <c r="R86" s="5" t="s">
        <v>458</v>
      </c>
      <c r="S86" s="5" t="s">
        <v>464</v>
      </c>
      <c r="T86" s="5" t="s">
        <v>38</v>
      </c>
      <c r="U86" s="5" t="s">
        <v>481</v>
      </c>
      <c r="V86" s="5" t="s">
        <v>466</v>
      </c>
      <c r="W86" s="5" t="s">
        <v>467</v>
      </c>
      <c r="X86" s="5" t="s">
        <v>468</v>
      </c>
      <c r="Y86" s="5" t="s">
        <v>482</v>
      </c>
      <c r="Z86" s="5" t="s">
        <v>483</v>
      </c>
      <c r="AA86" s="5"/>
      <c r="AB86" s="5"/>
      <c r="AC86" s="5" t="s">
        <v>80</v>
      </c>
      <c r="AD86" s="8" t="s">
        <v>484</v>
      </c>
      <c r="AE86" s="5" t="s">
        <v>38</v>
      </c>
      <c r="AF86" s="8" t="s">
        <v>485</v>
      </c>
      <c r="AG86" s="4"/>
      <c r="AH86" s="5" t="s">
        <v>472</v>
      </c>
      <c r="AI86" s="5"/>
      <c r="AJ86" s="5"/>
      <c r="AK86" s="5"/>
      <c r="AL86" s="5"/>
      <c r="AM86" s="5"/>
      <c r="AN86" s="5"/>
    </row>
    <row r="87" spans="1:40" ht="140.25" x14ac:dyDescent="0.35">
      <c r="A87" s="5">
        <v>23</v>
      </c>
      <c r="B87" s="5" t="s">
        <v>457</v>
      </c>
      <c r="C87" s="5"/>
      <c r="D87" s="5"/>
      <c r="E87" s="5"/>
      <c r="F87" s="5"/>
      <c r="G87" s="5"/>
      <c r="H87" s="5">
        <v>20</v>
      </c>
      <c r="I87" s="5" t="s">
        <v>38</v>
      </c>
      <c r="J87" s="5"/>
      <c r="K87" s="5" t="s">
        <v>38</v>
      </c>
      <c r="L87" s="5"/>
      <c r="M87" s="5"/>
      <c r="N87" s="5"/>
      <c r="O87" s="5"/>
      <c r="P87" s="5" t="s">
        <v>70</v>
      </c>
      <c r="Q87" s="5" t="s">
        <v>41</v>
      </c>
      <c r="R87" s="5" t="s">
        <v>458</v>
      </c>
      <c r="S87" s="5" t="s">
        <v>464</v>
      </c>
      <c r="T87" s="5" t="s">
        <v>38</v>
      </c>
      <c r="U87" s="5" t="s">
        <v>486</v>
      </c>
      <c r="V87" s="5" t="s">
        <v>466</v>
      </c>
      <c r="W87" s="5" t="s">
        <v>467</v>
      </c>
      <c r="X87" s="5" t="s">
        <v>468</v>
      </c>
      <c r="Y87" s="5" t="s">
        <v>487</v>
      </c>
      <c r="Z87" s="5" t="s">
        <v>356</v>
      </c>
      <c r="AA87" s="5"/>
      <c r="AB87" s="5"/>
      <c r="AC87" s="5" t="s">
        <v>80</v>
      </c>
      <c r="AD87" s="8" t="s">
        <v>488</v>
      </c>
      <c r="AE87" s="5" t="s">
        <v>38</v>
      </c>
      <c r="AF87" s="8" t="s">
        <v>489</v>
      </c>
      <c r="AG87" s="4"/>
      <c r="AH87" s="5" t="s">
        <v>472</v>
      </c>
      <c r="AI87" s="5"/>
      <c r="AJ87" s="5"/>
      <c r="AK87" s="5"/>
      <c r="AL87" s="5"/>
      <c r="AM87" s="5"/>
      <c r="AN87" s="5"/>
    </row>
    <row r="88" spans="1:40" ht="102" x14ac:dyDescent="0.35">
      <c r="A88" s="5">
        <v>24</v>
      </c>
      <c r="B88" s="5" t="s">
        <v>490</v>
      </c>
      <c r="C88" s="5"/>
      <c r="D88" s="5"/>
      <c r="E88" s="5"/>
      <c r="F88" s="5"/>
      <c r="G88" s="5"/>
      <c r="H88" s="5">
        <v>34</v>
      </c>
      <c r="I88" s="5" t="s">
        <v>491</v>
      </c>
      <c r="J88" s="5"/>
      <c r="K88" s="5">
        <v>79</v>
      </c>
      <c r="L88" s="5"/>
      <c r="M88" s="5"/>
      <c r="N88" s="5"/>
      <c r="O88" s="5"/>
      <c r="P88" s="5" t="s">
        <v>492</v>
      </c>
      <c r="Q88" s="5" t="s">
        <v>41</v>
      </c>
      <c r="R88" s="5" t="s">
        <v>493</v>
      </c>
      <c r="S88" s="5" t="s">
        <v>494</v>
      </c>
      <c r="T88" s="5" t="s">
        <v>266</v>
      </c>
      <c r="U88" s="5" t="s">
        <v>495</v>
      </c>
      <c r="V88" s="5" t="s">
        <v>45</v>
      </c>
      <c r="W88" s="5" t="s">
        <v>496</v>
      </c>
      <c r="X88" s="5" t="s">
        <v>497</v>
      </c>
      <c r="Y88" s="5" t="s">
        <v>38</v>
      </c>
      <c r="Z88" s="5" t="s">
        <v>38</v>
      </c>
      <c r="AA88" s="5" t="s">
        <v>38</v>
      </c>
      <c r="AB88" s="5" t="s">
        <v>38</v>
      </c>
      <c r="AC88" s="5" t="s">
        <v>498</v>
      </c>
      <c r="AD88" s="8">
        <v>9.3700000000000006E-2</v>
      </c>
      <c r="AE88" s="5" t="s">
        <v>499</v>
      </c>
      <c r="AF88" s="8">
        <v>0.76</v>
      </c>
      <c r="AG88" s="4"/>
      <c r="AH88" s="5"/>
      <c r="AI88" s="5"/>
      <c r="AJ88" s="5"/>
      <c r="AK88" s="5"/>
      <c r="AL88" s="5"/>
      <c r="AM88" s="5"/>
      <c r="AN88" s="5"/>
    </row>
    <row r="89" spans="1:40" ht="102" x14ac:dyDescent="0.35">
      <c r="A89" s="5">
        <v>24</v>
      </c>
      <c r="B89" s="5" t="s">
        <v>490</v>
      </c>
      <c r="C89" s="5"/>
      <c r="D89" s="5"/>
      <c r="E89" s="5"/>
      <c r="F89" s="5"/>
      <c r="G89" s="5"/>
      <c r="H89" s="5">
        <v>34</v>
      </c>
      <c r="I89" s="5" t="s">
        <v>491</v>
      </c>
      <c r="J89" s="5"/>
      <c r="K89" s="5">
        <v>79</v>
      </c>
      <c r="L89" s="5"/>
      <c r="M89" s="5"/>
      <c r="N89" s="5"/>
      <c r="O89" s="5"/>
      <c r="P89" s="5" t="s">
        <v>492</v>
      </c>
      <c r="Q89" s="5" t="s">
        <v>41</v>
      </c>
      <c r="R89" s="5" t="s">
        <v>493</v>
      </c>
      <c r="S89" s="5" t="s">
        <v>494</v>
      </c>
      <c r="T89" s="5" t="s">
        <v>266</v>
      </c>
      <c r="U89" s="5" t="s">
        <v>500</v>
      </c>
      <c r="V89" s="5" t="s">
        <v>45</v>
      </c>
      <c r="W89" s="5" t="s">
        <v>501</v>
      </c>
      <c r="X89" s="5" t="s">
        <v>502</v>
      </c>
      <c r="Y89" s="5" t="s">
        <v>38</v>
      </c>
      <c r="Z89" s="5" t="s">
        <v>38</v>
      </c>
      <c r="AA89" s="5" t="s">
        <v>38</v>
      </c>
      <c r="AB89" s="5" t="s">
        <v>38</v>
      </c>
      <c r="AC89" s="5" t="s">
        <v>181</v>
      </c>
      <c r="AD89" s="8">
        <v>0.32900000000000001</v>
      </c>
      <c r="AE89" s="5" t="s">
        <v>499</v>
      </c>
      <c r="AF89" s="8">
        <v>0.64500000000000002</v>
      </c>
      <c r="AG89" s="4"/>
      <c r="AH89" s="5"/>
      <c r="AI89" s="5"/>
      <c r="AJ89" s="5"/>
      <c r="AK89" s="5"/>
      <c r="AL89" s="5"/>
      <c r="AM89" s="5"/>
      <c r="AN89" s="5"/>
    </row>
    <row r="90" spans="1:40" ht="102" x14ac:dyDescent="0.35">
      <c r="A90" s="5">
        <v>24</v>
      </c>
      <c r="B90" s="5" t="s">
        <v>490</v>
      </c>
      <c r="C90" s="5"/>
      <c r="D90" s="5"/>
      <c r="E90" s="5"/>
      <c r="F90" s="5"/>
      <c r="G90" s="5"/>
      <c r="H90" s="5">
        <v>34</v>
      </c>
      <c r="I90" s="5" t="s">
        <v>491</v>
      </c>
      <c r="J90" s="5"/>
      <c r="K90" s="5">
        <v>79</v>
      </c>
      <c r="L90" s="5"/>
      <c r="M90" s="5"/>
      <c r="N90" s="5"/>
      <c r="O90" s="5"/>
      <c r="P90" s="5" t="s">
        <v>492</v>
      </c>
      <c r="Q90" s="5" t="s">
        <v>41</v>
      </c>
      <c r="R90" s="5" t="s">
        <v>493</v>
      </c>
      <c r="S90" s="5" t="s">
        <v>494</v>
      </c>
      <c r="T90" s="5" t="s">
        <v>266</v>
      </c>
      <c r="U90" s="5" t="s">
        <v>503</v>
      </c>
      <c r="V90" s="5" t="s">
        <v>45</v>
      </c>
      <c r="W90" s="5" t="s">
        <v>496</v>
      </c>
      <c r="X90" s="5" t="s">
        <v>497</v>
      </c>
      <c r="Y90" s="5" t="s">
        <v>38</v>
      </c>
      <c r="Z90" s="5" t="s">
        <v>38</v>
      </c>
      <c r="AA90" s="5" t="s">
        <v>38</v>
      </c>
      <c r="AB90" s="5" t="s">
        <v>38</v>
      </c>
      <c r="AC90" s="5" t="s">
        <v>498</v>
      </c>
      <c r="AD90" s="8">
        <v>205.75</v>
      </c>
      <c r="AE90" s="5" t="s">
        <v>504</v>
      </c>
      <c r="AF90" s="8" t="s">
        <v>98</v>
      </c>
      <c r="AG90" s="4"/>
      <c r="AH90" s="5"/>
      <c r="AI90" s="5"/>
      <c r="AJ90" s="5"/>
      <c r="AK90" s="5"/>
      <c r="AL90" s="5"/>
      <c r="AM90" s="5"/>
      <c r="AN90" s="5"/>
    </row>
    <row r="91" spans="1:40" ht="382.5" x14ac:dyDescent="0.35">
      <c r="A91" s="5">
        <v>25</v>
      </c>
      <c r="B91" s="5" t="s">
        <v>505</v>
      </c>
      <c r="C91" s="5"/>
      <c r="D91" s="5"/>
      <c r="E91" s="5"/>
      <c r="F91" s="5"/>
      <c r="G91" s="5"/>
      <c r="H91" s="5">
        <v>19</v>
      </c>
      <c r="I91" s="5" t="s">
        <v>506</v>
      </c>
      <c r="J91" s="5"/>
      <c r="K91" s="5" t="s">
        <v>38</v>
      </c>
      <c r="L91" s="5"/>
      <c r="M91" s="5"/>
      <c r="N91" s="5"/>
      <c r="O91" s="5"/>
      <c r="P91" s="5" t="s">
        <v>507</v>
      </c>
      <c r="Q91" s="5" t="s">
        <v>41</v>
      </c>
      <c r="R91" s="5" t="s">
        <v>493</v>
      </c>
      <c r="S91" s="5" t="s">
        <v>508</v>
      </c>
      <c r="T91" s="5" t="s">
        <v>509</v>
      </c>
      <c r="U91" s="5" t="s">
        <v>510</v>
      </c>
      <c r="V91" s="5" t="s">
        <v>455</v>
      </c>
      <c r="W91" s="5" t="s">
        <v>511</v>
      </c>
      <c r="X91" s="5" t="s">
        <v>512</v>
      </c>
      <c r="Y91" s="5" t="s">
        <v>38</v>
      </c>
      <c r="Z91" s="5" t="s">
        <v>38</v>
      </c>
      <c r="AA91" s="5" t="s">
        <v>38</v>
      </c>
      <c r="AB91" s="5" t="s">
        <v>38</v>
      </c>
      <c r="AC91" s="5" t="s">
        <v>513</v>
      </c>
      <c r="AD91" s="8" t="s">
        <v>514</v>
      </c>
      <c r="AE91" s="5" t="s">
        <v>38</v>
      </c>
      <c r="AF91" s="8">
        <v>2.5000000000000001E-2</v>
      </c>
      <c r="AG91" s="4" t="s">
        <v>515</v>
      </c>
      <c r="AH91" s="5" t="s">
        <v>93</v>
      </c>
      <c r="AI91" s="5"/>
      <c r="AJ91" s="5"/>
      <c r="AK91" s="5"/>
      <c r="AL91" s="5"/>
      <c r="AM91" s="5"/>
      <c r="AN91" s="5"/>
    </row>
    <row r="92" spans="1:40" ht="51" x14ac:dyDescent="0.35">
      <c r="A92" s="5">
        <v>26</v>
      </c>
      <c r="B92" s="5" t="s">
        <v>516</v>
      </c>
      <c r="C92" s="5"/>
      <c r="D92" s="5"/>
      <c r="E92" s="5"/>
      <c r="F92" s="5"/>
      <c r="G92" s="5"/>
      <c r="H92" s="5">
        <v>25</v>
      </c>
      <c r="I92" s="5" t="s">
        <v>517</v>
      </c>
      <c r="J92" s="5"/>
      <c r="K92" s="5">
        <v>64</v>
      </c>
      <c r="L92" s="5"/>
      <c r="M92" s="5"/>
      <c r="N92" s="5"/>
      <c r="O92" s="5"/>
      <c r="P92" s="5" t="s">
        <v>70</v>
      </c>
      <c r="Q92" s="5" t="s">
        <v>41</v>
      </c>
      <c r="R92" s="5" t="s">
        <v>493</v>
      </c>
      <c r="S92" s="5" t="s">
        <v>518</v>
      </c>
      <c r="T92" s="5" t="s">
        <v>509</v>
      </c>
      <c r="U92" s="5" t="s">
        <v>519</v>
      </c>
      <c r="V92" s="5" t="s">
        <v>455</v>
      </c>
      <c r="W92" s="5" t="s">
        <v>511</v>
      </c>
      <c r="X92" s="5" t="s">
        <v>512</v>
      </c>
      <c r="Y92" s="5" t="s">
        <v>520</v>
      </c>
      <c r="Z92" s="5" t="s">
        <v>521</v>
      </c>
      <c r="AA92" s="5" t="s">
        <v>522</v>
      </c>
      <c r="AB92" s="5" t="s">
        <v>92</v>
      </c>
      <c r="AC92" s="5" t="s">
        <v>80</v>
      </c>
      <c r="AD92" s="8" t="s">
        <v>38</v>
      </c>
      <c r="AE92" s="5" t="s">
        <v>38</v>
      </c>
      <c r="AF92" s="32" t="s">
        <v>81</v>
      </c>
      <c r="AG92" s="4"/>
      <c r="AH92" s="5" t="s">
        <v>93</v>
      </c>
      <c r="AI92" s="5"/>
      <c r="AJ92" s="5"/>
      <c r="AK92" s="5"/>
      <c r="AL92" s="5"/>
      <c r="AM92" s="5"/>
      <c r="AN92" s="5"/>
    </row>
    <row r="93" spans="1:40" ht="51" x14ac:dyDescent="0.35">
      <c r="A93" s="5">
        <v>26</v>
      </c>
      <c r="B93" s="5" t="s">
        <v>516</v>
      </c>
      <c r="C93" s="5"/>
      <c r="D93" s="5"/>
      <c r="E93" s="5"/>
      <c r="F93" s="5"/>
      <c r="G93" s="5"/>
      <c r="H93" s="5">
        <v>25</v>
      </c>
      <c r="I93" s="5" t="s">
        <v>517</v>
      </c>
      <c r="J93" s="5"/>
      <c r="K93" s="5">
        <v>64</v>
      </c>
      <c r="L93" s="5"/>
      <c r="M93" s="5"/>
      <c r="N93" s="5"/>
      <c r="O93" s="5"/>
      <c r="P93" s="5" t="s">
        <v>70</v>
      </c>
      <c r="Q93" s="5" t="s">
        <v>41</v>
      </c>
      <c r="R93" s="5" t="s">
        <v>493</v>
      </c>
      <c r="S93" s="5" t="s">
        <v>518</v>
      </c>
      <c r="T93" s="5" t="s">
        <v>509</v>
      </c>
      <c r="U93" s="5" t="s">
        <v>523</v>
      </c>
      <c r="V93" s="5" t="s">
        <v>455</v>
      </c>
      <c r="W93" s="5" t="s">
        <v>511</v>
      </c>
      <c r="X93" s="5" t="s">
        <v>512</v>
      </c>
      <c r="Y93" s="5" t="s">
        <v>524</v>
      </c>
      <c r="Z93" s="5" t="s">
        <v>525</v>
      </c>
      <c r="AA93" s="5" t="s">
        <v>522</v>
      </c>
      <c r="AB93" s="5" t="s">
        <v>92</v>
      </c>
      <c r="AC93" s="5" t="s">
        <v>80</v>
      </c>
      <c r="AD93" s="8" t="s">
        <v>38</v>
      </c>
      <c r="AE93" s="5" t="s">
        <v>38</v>
      </c>
      <c r="AF93" s="32" t="s">
        <v>81</v>
      </c>
      <c r="AG93" s="4"/>
      <c r="AH93" s="5"/>
      <c r="AI93" s="5"/>
      <c r="AJ93" s="5"/>
      <c r="AK93" s="5"/>
      <c r="AL93" s="5"/>
      <c r="AM93" s="5"/>
      <c r="AN93" s="5"/>
    </row>
    <row r="94" spans="1:40" ht="51" x14ac:dyDescent="0.35">
      <c r="A94" s="5">
        <v>26</v>
      </c>
      <c r="B94" s="5" t="s">
        <v>516</v>
      </c>
      <c r="C94" s="5"/>
      <c r="D94" s="5"/>
      <c r="E94" s="5"/>
      <c r="F94" s="5"/>
      <c r="G94" s="5"/>
      <c r="H94" s="5">
        <v>25</v>
      </c>
      <c r="I94" s="5" t="s">
        <v>517</v>
      </c>
      <c r="J94" s="5"/>
      <c r="K94" s="5">
        <v>64</v>
      </c>
      <c r="L94" s="5"/>
      <c r="M94" s="5"/>
      <c r="N94" s="5"/>
      <c r="O94" s="5"/>
      <c r="P94" s="5" t="s">
        <v>70</v>
      </c>
      <c r="Q94" s="5" t="s">
        <v>41</v>
      </c>
      <c r="R94" s="5" t="s">
        <v>493</v>
      </c>
      <c r="S94" s="5" t="s">
        <v>518</v>
      </c>
      <c r="T94" s="5" t="s">
        <v>509</v>
      </c>
      <c r="U94" s="5" t="s">
        <v>526</v>
      </c>
      <c r="V94" s="5" t="s">
        <v>455</v>
      </c>
      <c r="W94" s="5" t="s">
        <v>511</v>
      </c>
      <c r="X94" s="5" t="s">
        <v>512</v>
      </c>
      <c r="Y94" s="5" t="s">
        <v>527</v>
      </c>
      <c r="Z94" s="5" t="s">
        <v>528</v>
      </c>
      <c r="AA94" s="5" t="s">
        <v>522</v>
      </c>
      <c r="AB94" s="5" t="s">
        <v>92</v>
      </c>
      <c r="AC94" s="5" t="s">
        <v>80</v>
      </c>
      <c r="AD94" s="8" t="s">
        <v>38</v>
      </c>
      <c r="AE94" s="5" t="s">
        <v>38</v>
      </c>
      <c r="AF94" s="32" t="s">
        <v>81</v>
      </c>
      <c r="AG94" s="4"/>
      <c r="AH94" s="5"/>
      <c r="AI94" s="5"/>
      <c r="AJ94" s="5"/>
      <c r="AK94" s="5"/>
      <c r="AL94" s="5"/>
      <c r="AM94" s="5"/>
      <c r="AN94" s="5"/>
    </row>
    <row r="95" spans="1:40" ht="51" x14ac:dyDescent="0.35">
      <c r="A95" s="5">
        <v>26</v>
      </c>
      <c r="B95" s="5" t="s">
        <v>516</v>
      </c>
      <c r="C95" s="5"/>
      <c r="D95" s="5"/>
      <c r="E95" s="5"/>
      <c r="F95" s="5"/>
      <c r="G95" s="5"/>
      <c r="H95" s="5">
        <v>25</v>
      </c>
      <c r="I95" s="5" t="s">
        <v>517</v>
      </c>
      <c r="J95" s="5"/>
      <c r="K95" s="5">
        <v>64</v>
      </c>
      <c r="L95" s="5"/>
      <c r="M95" s="5"/>
      <c r="N95" s="5"/>
      <c r="O95" s="5"/>
      <c r="P95" s="5" t="s">
        <v>70</v>
      </c>
      <c r="Q95" s="5" t="s">
        <v>41</v>
      </c>
      <c r="R95" s="5" t="s">
        <v>493</v>
      </c>
      <c r="S95" s="5" t="s">
        <v>518</v>
      </c>
      <c r="T95" s="5" t="s">
        <v>509</v>
      </c>
      <c r="U95" s="5" t="s">
        <v>529</v>
      </c>
      <c r="V95" s="5" t="s">
        <v>455</v>
      </c>
      <c r="W95" s="5" t="s">
        <v>511</v>
      </c>
      <c r="X95" s="5" t="s">
        <v>512</v>
      </c>
      <c r="Y95" s="5" t="s">
        <v>522</v>
      </c>
      <c r="Z95" s="5" t="s">
        <v>92</v>
      </c>
      <c r="AA95" s="5" t="s">
        <v>530</v>
      </c>
      <c r="AB95" s="5" t="s">
        <v>521</v>
      </c>
      <c r="AC95" s="5" t="s">
        <v>80</v>
      </c>
      <c r="AD95" s="8" t="s">
        <v>38</v>
      </c>
      <c r="AE95" s="5" t="s">
        <v>38</v>
      </c>
      <c r="AF95" s="32" t="s">
        <v>81</v>
      </c>
      <c r="AG95" s="4"/>
      <c r="AH95" s="5"/>
      <c r="AI95" s="5"/>
      <c r="AJ95" s="5"/>
      <c r="AK95" s="5"/>
      <c r="AL95" s="5"/>
      <c r="AM95" s="5"/>
      <c r="AN95" s="5"/>
    </row>
    <row r="96" spans="1:40" ht="38.25" x14ac:dyDescent="0.35">
      <c r="A96" s="5">
        <v>27</v>
      </c>
      <c r="B96" s="5" t="s">
        <v>531</v>
      </c>
      <c r="C96" s="5"/>
      <c r="D96" s="5"/>
      <c r="E96" s="5"/>
      <c r="F96" s="5"/>
      <c r="G96" s="5"/>
      <c r="H96" s="5">
        <v>45</v>
      </c>
      <c r="I96" s="5" t="s">
        <v>532</v>
      </c>
      <c r="J96" s="5"/>
      <c r="K96" s="5" t="s">
        <v>533</v>
      </c>
      <c r="L96" s="5"/>
      <c r="M96" s="5"/>
      <c r="N96" s="5"/>
      <c r="O96" s="5"/>
      <c r="P96" s="5" t="s">
        <v>70</v>
      </c>
      <c r="Q96" s="5" t="s">
        <v>41</v>
      </c>
      <c r="R96" s="5" t="s">
        <v>534</v>
      </c>
      <c r="S96" s="5" t="s">
        <v>535</v>
      </c>
      <c r="T96" s="5" t="s">
        <v>536</v>
      </c>
      <c r="U96" s="5" t="s">
        <v>537</v>
      </c>
      <c r="V96" s="5" t="s">
        <v>538</v>
      </c>
      <c r="W96" s="5" t="s">
        <v>539</v>
      </c>
      <c r="X96" s="5"/>
      <c r="Y96" s="5" t="s">
        <v>38</v>
      </c>
      <c r="Z96" s="5" t="s">
        <v>38</v>
      </c>
      <c r="AA96" s="5" t="s">
        <v>38</v>
      </c>
      <c r="AB96" s="5" t="s">
        <v>38</v>
      </c>
      <c r="AC96" s="5" t="s">
        <v>80</v>
      </c>
      <c r="AD96" s="8" t="s">
        <v>38</v>
      </c>
      <c r="AE96" s="5" t="s">
        <v>38</v>
      </c>
      <c r="AF96" s="8" t="s">
        <v>345</v>
      </c>
      <c r="AG96" s="4"/>
      <c r="AH96" s="5" t="s">
        <v>93</v>
      </c>
      <c r="AI96" s="5" t="s">
        <v>445</v>
      </c>
      <c r="AJ96" s="5"/>
      <c r="AK96" s="5"/>
      <c r="AL96" s="5"/>
      <c r="AM96" s="5"/>
      <c r="AN96" s="5"/>
    </row>
    <row r="97" spans="1:40" ht="38.25" x14ac:dyDescent="0.35">
      <c r="A97" s="5">
        <v>27</v>
      </c>
      <c r="B97" s="5" t="s">
        <v>531</v>
      </c>
      <c r="C97" s="5"/>
      <c r="D97" s="5"/>
      <c r="E97" s="5"/>
      <c r="F97" s="5"/>
      <c r="G97" s="5"/>
      <c r="H97" s="5">
        <v>45</v>
      </c>
      <c r="I97" s="5" t="s">
        <v>532</v>
      </c>
      <c r="J97" s="5"/>
      <c r="K97" s="5" t="s">
        <v>533</v>
      </c>
      <c r="L97" s="5"/>
      <c r="M97" s="5"/>
      <c r="N97" s="5"/>
      <c r="O97" s="5"/>
      <c r="P97" s="5" t="s">
        <v>70</v>
      </c>
      <c r="Q97" s="5" t="s">
        <v>41</v>
      </c>
      <c r="R97" s="5" t="s">
        <v>534</v>
      </c>
      <c r="S97" s="5" t="s">
        <v>535</v>
      </c>
      <c r="T97" s="5" t="s">
        <v>536</v>
      </c>
      <c r="U97" s="5" t="s">
        <v>540</v>
      </c>
      <c r="V97" s="5" t="s">
        <v>538</v>
      </c>
      <c r="W97" s="5" t="s">
        <v>539</v>
      </c>
      <c r="X97" s="5"/>
      <c r="Y97" s="5" t="s">
        <v>38</v>
      </c>
      <c r="Z97" s="5" t="s">
        <v>38</v>
      </c>
      <c r="AA97" s="5" t="s">
        <v>38</v>
      </c>
      <c r="AB97" s="5" t="s">
        <v>38</v>
      </c>
      <c r="AC97" s="5" t="s">
        <v>80</v>
      </c>
      <c r="AD97" s="8" t="s">
        <v>38</v>
      </c>
      <c r="AE97" s="5" t="s">
        <v>38</v>
      </c>
      <c r="AF97" s="8">
        <v>5.3999999999999999E-2</v>
      </c>
      <c r="AG97" s="4"/>
      <c r="AH97" s="5" t="s">
        <v>93</v>
      </c>
      <c r="AI97" s="5" t="s">
        <v>541</v>
      </c>
      <c r="AJ97" s="5"/>
      <c r="AK97" s="5"/>
      <c r="AL97" s="5"/>
      <c r="AM97" s="5"/>
      <c r="AN97" s="5"/>
    </row>
    <row r="98" spans="1:40" ht="76.5" x14ac:dyDescent="0.35">
      <c r="A98" s="5">
        <v>28</v>
      </c>
      <c r="B98" s="5" t="s">
        <v>542</v>
      </c>
      <c r="C98" s="5"/>
      <c r="D98" s="5"/>
      <c r="E98" s="5"/>
      <c r="F98" s="5"/>
      <c r="G98" s="5"/>
      <c r="H98" s="5">
        <v>1</v>
      </c>
      <c r="I98" s="5">
        <v>38</v>
      </c>
      <c r="J98" s="5"/>
      <c r="K98" s="5">
        <v>0</v>
      </c>
      <c r="L98" s="5"/>
      <c r="M98" s="5"/>
      <c r="N98" s="5"/>
      <c r="O98" s="5"/>
      <c r="P98" s="5" t="s">
        <v>70</v>
      </c>
      <c r="Q98" s="5" t="s">
        <v>41</v>
      </c>
      <c r="R98" s="5" t="s">
        <v>543</v>
      </c>
      <c r="S98" s="5" t="s">
        <v>40</v>
      </c>
      <c r="T98" s="5" t="s">
        <v>544</v>
      </c>
      <c r="U98" s="5" t="s">
        <v>545</v>
      </c>
      <c r="V98" s="5" t="s">
        <v>45</v>
      </c>
      <c r="W98" s="5" t="s">
        <v>546</v>
      </c>
      <c r="X98" s="5" t="s">
        <v>547</v>
      </c>
      <c r="Y98" s="5" t="s">
        <v>548</v>
      </c>
      <c r="Z98" s="5">
        <v>7</v>
      </c>
      <c r="AA98" s="5" t="s">
        <v>549</v>
      </c>
      <c r="AB98" s="5" t="s">
        <v>550</v>
      </c>
      <c r="AC98" s="5" t="s">
        <v>38</v>
      </c>
      <c r="AD98" s="8" t="s">
        <v>38</v>
      </c>
      <c r="AE98" s="5" t="s">
        <v>38</v>
      </c>
      <c r="AF98" s="8" t="s">
        <v>38</v>
      </c>
      <c r="AG98" s="4"/>
      <c r="AH98" s="5" t="s">
        <v>551</v>
      </c>
      <c r="AI98" s="5"/>
      <c r="AJ98" s="5"/>
      <c r="AK98" s="5"/>
      <c r="AL98" s="5"/>
      <c r="AM98" s="5"/>
      <c r="AN98" s="5"/>
    </row>
    <row r="99" spans="1:40" ht="76.5" x14ac:dyDescent="0.35">
      <c r="A99" s="5">
        <v>28</v>
      </c>
      <c r="B99" s="5" t="s">
        <v>542</v>
      </c>
      <c r="C99" s="5"/>
      <c r="D99" s="5"/>
      <c r="E99" s="5"/>
      <c r="F99" s="5"/>
      <c r="G99" s="5"/>
      <c r="H99" s="5">
        <v>1</v>
      </c>
      <c r="I99" s="5">
        <v>38</v>
      </c>
      <c r="J99" s="5"/>
      <c r="K99" s="5">
        <v>0</v>
      </c>
      <c r="L99" s="5"/>
      <c r="M99" s="5"/>
      <c r="N99" s="5"/>
      <c r="O99" s="5"/>
      <c r="P99" s="5" t="s">
        <v>70</v>
      </c>
      <c r="Q99" s="5" t="s">
        <v>41</v>
      </c>
      <c r="R99" s="5" t="s">
        <v>543</v>
      </c>
      <c r="S99" s="5" t="s">
        <v>40</v>
      </c>
      <c r="T99" s="5" t="s">
        <v>544</v>
      </c>
      <c r="U99" s="5" t="s">
        <v>552</v>
      </c>
      <c r="V99" s="5" t="s">
        <v>45</v>
      </c>
      <c r="W99" s="5" t="s">
        <v>546</v>
      </c>
      <c r="X99" s="5" t="s">
        <v>547</v>
      </c>
      <c r="Y99" s="5">
        <v>58.75</v>
      </c>
      <c r="Z99" s="5">
        <v>4.7</v>
      </c>
      <c r="AA99" s="5" t="s">
        <v>553</v>
      </c>
      <c r="AB99" s="5">
        <v>3</v>
      </c>
      <c r="AC99" s="5" t="s">
        <v>38</v>
      </c>
      <c r="AD99" s="8" t="s">
        <v>38</v>
      </c>
      <c r="AE99" s="5" t="s">
        <v>38</v>
      </c>
      <c r="AF99" s="8" t="s">
        <v>38</v>
      </c>
      <c r="AG99" s="4"/>
      <c r="AH99" s="5" t="s">
        <v>551</v>
      </c>
      <c r="AI99" s="5"/>
      <c r="AJ99" s="5"/>
      <c r="AK99" s="5"/>
      <c r="AL99" s="5"/>
      <c r="AM99" s="5"/>
      <c r="AN99" s="5"/>
    </row>
    <row r="100" spans="1:40" ht="76.5" x14ac:dyDescent="0.35">
      <c r="A100" s="5">
        <v>28</v>
      </c>
      <c r="B100" s="5" t="s">
        <v>542</v>
      </c>
      <c r="C100" s="33"/>
      <c r="D100" s="33"/>
      <c r="E100" s="33"/>
      <c r="F100" s="33"/>
      <c r="G100" s="33"/>
      <c r="H100" s="5">
        <v>1</v>
      </c>
      <c r="I100" s="5">
        <v>38</v>
      </c>
      <c r="J100" s="5"/>
      <c r="K100" s="5">
        <v>0</v>
      </c>
      <c r="L100" s="5"/>
      <c r="M100" s="5"/>
      <c r="N100" s="5"/>
      <c r="O100" s="5"/>
      <c r="P100" s="5" t="s">
        <v>70</v>
      </c>
      <c r="Q100" s="5" t="s">
        <v>41</v>
      </c>
      <c r="R100" s="5" t="s">
        <v>543</v>
      </c>
      <c r="S100" s="5" t="s">
        <v>40</v>
      </c>
      <c r="T100" s="5" t="s">
        <v>544</v>
      </c>
      <c r="U100" s="5" t="s">
        <v>554</v>
      </c>
      <c r="V100" s="5" t="s">
        <v>45</v>
      </c>
      <c r="W100" s="5" t="s">
        <v>546</v>
      </c>
      <c r="X100" s="5" t="s">
        <v>195</v>
      </c>
      <c r="Y100" s="33">
        <v>85.25</v>
      </c>
      <c r="Z100" s="33">
        <v>10.5</v>
      </c>
      <c r="AA100" s="5" t="s">
        <v>549</v>
      </c>
      <c r="AB100" s="5" t="s">
        <v>550</v>
      </c>
      <c r="AC100" s="5" t="s">
        <v>38</v>
      </c>
      <c r="AD100" s="8" t="s">
        <v>38</v>
      </c>
      <c r="AE100" s="5" t="s">
        <v>38</v>
      </c>
      <c r="AF100" s="8" t="s">
        <v>38</v>
      </c>
      <c r="AG100" s="34"/>
      <c r="AH100" s="33"/>
      <c r="AI100" s="33"/>
      <c r="AJ100" s="33"/>
      <c r="AK100" s="33"/>
      <c r="AL100" s="33"/>
      <c r="AM100" s="33"/>
      <c r="AN100" s="33"/>
    </row>
    <row r="101" spans="1:40" ht="76.5" x14ac:dyDescent="0.35">
      <c r="A101" s="5">
        <v>28</v>
      </c>
      <c r="B101" s="5" t="s">
        <v>542</v>
      </c>
      <c r="C101" s="33"/>
      <c r="D101" s="33"/>
      <c r="E101" s="33"/>
      <c r="F101" s="33"/>
      <c r="G101" s="33"/>
      <c r="H101" s="5">
        <v>1</v>
      </c>
      <c r="I101" s="5">
        <v>38</v>
      </c>
      <c r="J101" s="5"/>
      <c r="K101" s="5">
        <v>0</v>
      </c>
      <c r="L101" s="5"/>
      <c r="M101" s="5"/>
      <c r="N101" s="5"/>
      <c r="O101" s="5"/>
      <c r="P101" s="5" t="s">
        <v>70</v>
      </c>
      <c r="Q101" s="5" t="s">
        <v>41</v>
      </c>
      <c r="R101" s="5" t="s">
        <v>543</v>
      </c>
      <c r="S101" s="5" t="s">
        <v>40</v>
      </c>
      <c r="T101" s="5" t="s">
        <v>544</v>
      </c>
      <c r="U101" s="5" t="s">
        <v>555</v>
      </c>
      <c r="V101" s="5" t="s">
        <v>45</v>
      </c>
      <c r="W101" s="5" t="s">
        <v>546</v>
      </c>
      <c r="X101" s="5" t="s">
        <v>195</v>
      </c>
      <c r="Y101" s="33">
        <v>62.5</v>
      </c>
      <c r="Z101" s="33">
        <v>5.5</v>
      </c>
      <c r="AA101" s="5" t="s">
        <v>553</v>
      </c>
      <c r="AB101" s="5">
        <v>3</v>
      </c>
      <c r="AC101" s="5" t="s">
        <v>38</v>
      </c>
      <c r="AD101" s="8" t="s">
        <v>38</v>
      </c>
      <c r="AE101" s="5" t="s">
        <v>38</v>
      </c>
      <c r="AF101" s="8" t="s">
        <v>38</v>
      </c>
      <c r="AG101" s="34"/>
      <c r="AH101" s="33"/>
      <c r="AI101" s="33"/>
      <c r="AJ101" s="33"/>
      <c r="AK101" s="33"/>
      <c r="AL101" s="33"/>
      <c r="AM101" s="33"/>
      <c r="AN101" s="33"/>
    </row>
    <row r="102" spans="1:40" ht="51" x14ac:dyDescent="0.35">
      <c r="A102" s="35">
        <v>31</v>
      </c>
      <c r="B102" s="35" t="s">
        <v>556</v>
      </c>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6"/>
      <c r="AE102" s="35"/>
      <c r="AF102" s="36"/>
      <c r="AG102" s="37"/>
      <c r="AH102" s="35"/>
      <c r="AI102" s="35"/>
      <c r="AJ102" s="35"/>
      <c r="AK102" s="35"/>
      <c r="AL102" s="35"/>
      <c r="AM102" s="35"/>
      <c r="AN102" s="35"/>
    </row>
    <row r="103" spans="1:40" ht="51" x14ac:dyDescent="0.35">
      <c r="A103" s="5">
        <v>32</v>
      </c>
      <c r="B103" s="5" t="s">
        <v>557</v>
      </c>
      <c r="C103" s="5"/>
      <c r="D103" s="5"/>
      <c r="E103" s="5"/>
      <c r="F103" s="5"/>
      <c r="G103" s="5"/>
      <c r="H103" s="5">
        <v>4</v>
      </c>
      <c r="I103" s="5"/>
      <c r="J103" s="5"/>
      <c r="K103" s="5"/>
      <c r="L103" s="5"/>
      <c r="M103" s="5"/>
      <c r="N103" s="5"/>
      <c r="O103" s="5"/>
      <c r="P103" s="5" t="s">
        <v>70</v>
      </c>
      <c r="Q103" s="5" t="s">
        <v>41</v>
      </c>
      <c r="R103" s="5" t="s">
        <v>558</v>
      </c>
      <c r="S103" s="5" t="s">
        <v>559</v>
      </c>
      <c r="T103" s="5" t="s">
        <v>38</v>
      </c>
      <c r="U103" s="5" t="s">
        <v>365</v>
      </c>
      <c r="V103" s="5" t="s">
        <v>560</v>
      </c>
      <c r="W103" s="5" t="s">
        <v>561</v>
      </c>
      <c r="X103" s="5" t="s">
        <v>547</v>
      </c>
      <c r="Y103" s="5" t="s">
        <v>562</v>
      </c>
      <c r="Z103" s="5" t="s">
        <v>235</v>
      </c>
      <c r="AA103" s="5" t="s">
        <v>563</v>
      </c>
      <c r="AB103" s="5" t="s">
        <v>431</v>
      </c>
      <c r="AC103" s="5" t="s">
        <v>38</v>
      </c>
      <c r="AD103" s="8" t="s">
        <v>38</v>
      </c>
      <c r="AE103" s="5" t="s">
        <v>38</v>
      </c>
      <c r="AF103" s="8" t="s">
        <v>38</v>
      </c>
      <c r="AG103" s="4"/>
      <c r="AH103" s="5"/>
      <c r="AI103" s="5"/>
      <c r="AJ103" s="5"/>
      <c r="AK103" s="5"/>
      <c r="AL103" s="5"/>
      <c r="AM103" s="5"/>
      <c r="AN103" s="5"/>
    </row>
    <row r="104" spans="1:40" ht="51" x14ac:dyDescent="0.35">
      <c r="A104" s="5">
        <v>32</v>
      </c>
      <c r="B104" s="5" t="s">
        <v>557</v>
      </c>
      <c r="C104" s="5"/>
      <c r="D104" s="5"/>
      <c r="E104" s="5"/>
      <c r="F104" s="5"/>
      <c r="G104" s="5"/>
      <c r="H104" s="5">
        <v>4</v>
      </c>
      <c r="I104" s="5"/>
      <c r="J104" s="5"/>
      <c r="K104" s="5"/>
      <c r="L104" s="5"/>
      <c r="M104" s="5"/>
      <c r="N104" s="5"/>
      <c r="O104" s="5"/>
      <c r="P104" s="5" t="s">
        <v>70</v>
      </c>
      <c r="Q104" s="5" t="s">
        <v>41</v>
      </c>
      <c r="R104" s="5" t="s">
        <v>558</v>
      </c>
      <c r="S104" s="5" t="s">
        <v>559</v>
      </c>
      <c r="T104" s="5" t="s">
        <v>38</v>
      </c>
      <c r="U104" s="5" t="s">
        <v>564</v>
      </c>
      <c r="V104" s="5" t="s">
        <v>560</v>
      </c>
      <c r="W104" s="5" t="s">
        <v>561</v>
      </c>
      <c r="X104" s="5" t="s">
        <v>547</v>
      </c>
      <c r="Y104" s="5" t="s">
        <v>563</v>
      </c>
      <c r="Z104" s="5" t="s">
        <v>431</v>
      </c>
      <c r="AA104" s="5">
        <v>2</v>
      </c>
      <c r="AB104" s="5" t="s">
        <v>565</v>
      </c>
      <c r="AC104" s="5" t="s">
        <v>38</v>
      </c>
      <c r="AD104" s="8" t="s">
        <v>38</v>
      </c>
      <c r="AE104" s="5" t="s">
        <v>38</v>
      </c>
      <c r="AF104" s="8" t="s">
        <v>38</v>
      </c>
      <c r="AG104" s="4"/>
      <c r="AH104" s="5"/>
      <c r="AI104" s="5"/>
      <c r="AJ104" s="5"/>
      <c r="AK104" s="5"/>
      <c r="AL104" s="5"/>
      <c r="AM104" s="5"/>
      <c r="AN104" s="5"/>
    </row>
    <row r="105" spans="1:40" ht="51" x14ac:dyDescent="0.35">
      <c r="A105" s="5">
        <v>33</v>
      </c>
      <c r="B105" s="5" t="s">
        <v>566</v>
      </c>
      <c r="C105" s="5"/>
      <c r="D105" s="5"/>
      <c r="E105" s="5"/>
      <c r="F105" s="5"/>
      <c r="G105" s="5"/>
      <c r="H105" s="5">
        <v>40</v>
      </c>
      <c r="I105" s="5"/>
      <c r="J105" s="5"/>
      <c r="K105" s="5" t="s">
        <v>567</v>
      </c>
      <c r="L105" s="5"/>
      <c r="M105" s="5"/>
      <c r="N105" s="5"/>
      <c r="O105" s="5"/>
      <c r="P105" s="5" t="s">
        <v>70</v>
      </c>
      <c r="Q105" s="5" t="s">
        <v>41</v>
      </c>
      <c r="R105" s="5" t="s">
        <v>568</v>
      </c>
      <c r="S105" s="5" t="s">
        <v>569</v>
      </c>
      <c r="T105" s="5" t="s">
        <v>38</v>
      </c>
      <c r="U105" s="5" t="s">
        <v>570</v>
      </c>
      <c r="V105" s="5" t="s">
        <v>571</v>
      </c>
      <c r="W105" s="5" t="s">
        <v>38</v>
      </c>
      <c r="X105" s="5" t="s">
        <v>547</v>
      </c>
      <c r="Y105" s="5" t="s">
        <v>38</v>
      </c>
      <c r="Z105" s="5" t="s">
        <v>38</v>
      </c>
      <c r="AA105" s="5" t="s">
        <v>38</v>
      </c>
      <c r="AB105" s="5" t="s">
        <v>38</v>
      </c>
      <c r="AC105" s="5" t="s">
        <v>572</v>
      </c>
      <c r="AD105" s="8" t="s">
        <v>573</v>
      </c>
      <c r="AE105" s="5">
        <v>40</v>
      </c>
      <c r="AF105" s="8" t="s">
        <v>98</v>
      </c>
      <c r="AG105" s="4"/>
      <c r="AH105" s="5"/>
      <c r="AI105" s="5"/>
      <c r="AJ105" s="5"/>
      <c r="AK105" s="5"/>
      <c r="AL105" s="5"/>
      <c r="AM105" s="5"/>
      <c r="AN105" s="5"/>
    </row>
    <row r="106" spans="1:40" ht="51" x14ac:dyDescent="0.35">
      <c r="A106" s="5">
        <v>33</v>
      </c>
      <c r="B106" s="5" t="s">
        <v>566</v>
      </c>
      <c r="C106" s="5"/>
      <c r="D106" s="5"/>
      <c r="E106" s="5"/>
      <c r="F106" s="5"/>
      <c r="G106" s="5"/>
      <c r="H106" s="5">
        <v>40</v>
      </c>
      <c r="I106" s="5"/>
      <c r="J106" s="5"/>
      <c r="K106" s="5" t="s">
        <v>567</v>
      </c>
      <c r="L106" s="5"/>
      <c r="M106" s="5"/>
      <c r="N106" s="5"/>
      <c r="O106" s="5"/>
      <c r="P106" s="5" t="s">
        <v>70</v>
      </c>
      <c r="Q106" s="5" t="s">
        <v>41</v>
      </c>
      <c r="R106" s="5" t="s">
        <v>568</v>
      </c>
      <c r="S106" s="5" t="s">
        <v>569</v>
      </c>
      <c r="T106" s="5" t="s">
        <v>38</v>
      </c>
      <c r="U106" s="5" t="s">
        <v>574</v>
      </c>
      <c r="V106" s="5" t="s">
        <v>571</v>
      </c>
      <c r="W106" s="5" t="s">
        <v>38</v>
      </c>
      <c r="X106" s="5" t="s">
        <v>547</v>
      </c>
      <c r="Y106" s="5" t="s">
        <v>38</v>
      </c>
      <c r="Z106" s="5" t="s">
        <v>38</v>
      </c>
      <c r="AA106" s="5" t="s">
        <v>38</v>
      </c>
      <c r="AB106" s="5" t="s">
        <v>38</v>
      </c>
      <c r="AC106" s="5" t="s">
        <v>572</v>
      </c>
      <c r="AD106" s="8" t="s">
        <v>240</v>
      </c>
      <c r="AE106" s="5">
        <v>40</v>
      </c>
      <c r="AF106" s="8">
        <v>2E-3</v>
      </c>
      <c r="AG106" s="4"/>
      <c r="AH106" s="5"/>
      <c r="AI106" s="5"/>
      <c r="AJ106" s="5"/>
      <c r="AK106" s="5"/>
      <c r="AL106" s="5"/>
      <c r="AM106" s="5"/>
      <c r="AN106" s="5"/>
    </row>
    <row r="107" spans="1:40" ht="38.25" x14ac:dyDescent="0.35">
      <c r="A107" s="5">
        <v>34</v>
      </c>
      <c r="B107" s="5" t="s">
        <v>575</v>
      </c>
      <c r="C107" s="5"/>
      <c r="D107" s="5"/>
      <c r="E107" s="5"/>
      <c r="F107" s="5"/>
      <c r="G107" s="5"/>
      <c r="H107" s="5">
        <v>40</v>
      </c>
      <c r="I107" s="5" t="s">
        <v>576</v>
      </c>
      <c r="J107" s="5"/>
      <c r="K107" s="5">
        <v>70</v>
      </c>
      <c r="L107" s="5"/>
      <c r="M107" s="5"/>
      <c r="N107" s="5"/>
      <c r="O107" s="5"/>
      <c r="P107" s="5" t="s">
        <v>70</v>
      </c>
      <c r="Q107" s="5" t="s">
        <v>41</v>
      </c>
      <c r="R107" s="5" t="s">
        <v>310</v>
      </c>
      <c r="S107" s="5" t="s">
        <v>577</v>
      </c>
      <c r="T107" s="5" t="s">
        <v>578</v>
      </c>
      <c r="U107" s="5" t="s">
        <v>579</v>
      </c>
      <c r="V107" s="5" t="s">
        <v>580</v>
      </c>
      <c r="W107" s="5" t="s">
        <v>581</v>
      </c>
      <c r="X107" s="5" t="s">
        <v>582</v>
      </c>
      <c r="Y107" s="5" t="s">
        <v>233</v>
      </c>
      <c r="Z107" s="5" t="s">
        <v>583</v>
      </c>
      <c r="AA107" s="5">
        <v>31</v>
      </c>
      <c r="AB107" s="5" t="s">
        <v>584</v>
      </c>
      <c r="AC107" s="5" t="s">
        <v>585</v>
      </c>
      <c r="AD107" s="8" t="s">
        <v>254</v>
      </c>
      <c r="AE107" s="5">
        <v>37</v>
      </c>
      <c r="AF107" s="8" t="s">
        <v>586</v>
      </c>
      <c r="AG107" s="4"/>
      <c r="AH107" s="5"/>
      <c r="AI107" s="5"/>
      <c r="AJ107" s="5"/>
      <c r="AK107" s="5"/>
      <c r="AL107" s="5"/>
      <c r="AM107" s="5"/>
      <c r="AN107" s="5"/>
    </row>
    <row r="108" spans="1:40" ht="38.25" x14ac:dyDescent="0.35">
      <c r="A108" s="5">
        <v>34</v>
      </c>
      <c r="B108" s="5" t="s">
        <v>575</v>
      </c>
      <c r="C108" s="5"/>
      <c r="D108" s="5"/>
      <c r="E108" s="5"/>
      <c r="F108" s="5"/>
      <c r="G108" s="5"/>
      <c r="H108" s="5">
        <v>40</v>
      </c>
      <c r="I108" s="5" t="s">
        <v>576</v>
      </c>
      <c r="J108" s="5"/>
      <c r="K108" s="5">
        <v>70</v>
      </c>
      <c r="L108" s="5"/>
      <c r="M108" s="5"/>
      <c r="N108" s="5"/>
      <c r="O108" s="5"/>
      <c r="P108" s="5" t="s">
        <v>70</v>
      </c>
      <c r="Q108" s="5" t="s">
        <v>41</v>
      </c>
      <c r="R108" s="5" t="s">
        <v>310</v>
      </c>
      <c r="S108" s="5" t="s">
        <v>577</v>
      </c>
      <c r="T108" s="5" t="s">
        <v>578</v>
      </c>
      <c r="U108" s="5" t="s">
        <v>587</v>
      </c>
      <c r="V108" s="5" t="s">
        <v>588</v>
      </c>
      <c r="W108" s="5" t="s">
        <v>589</v>
      </c>
      <c r="X108" s="5" t="s">
        <v>195</v>
      </c>
      <c r="Y108" s="5" t="s">
        <v>562</v>
      </c>
      <c r="Z108" s="5" t="s">
        <v>590</v>
      </c>
      <c r="AA108" s="5" t="s">
        <v>591</v>
      </c>
      <c r="AB108" s="5" t="s">
        <v>592</v>
      </c>
      <c r="AC108" s="5" t="s">
        <v>585</v>
      </c>
      <c r="AD108" s="8" t="s">
        <v>593</v>
      </c>
      <c r="AE108" s="5">
        <v>37</v>
      </c>
      <c r="AF108" s="8">
        <v>1E-3</v>
      </c>
      <c r="AG108" s="4"/>
      <c r="AH108" s="5"/>
      <c r="AI108" s="5"/>
      <c r="AJ108" s="5"/>
      <c r="AK108" s="5"/>
      <c r="AL108" s="5"/>
      <c r="AM108" s="5"/>
      <c r="AN108" s="5"/>
    </row>
    <row r="109" spans="1:40" ht="63.75" x14ac:dyDescent="0.35">
      <c r="A109" s="5">
        <v>35</v>
      </c>
      <c r="B109" s="5" t="s">
        <v>594</v>
      </c>
      <c r="C109" s="5"/>
      <c r="D109" s="5"/>
      <c r="E109" s="5"/>
      <c r="F109" s="5"/>
      <c r="G109" s="5"/>
      <c r="H109" s="5">
        <v>22</v>
      </c>
      <c r="I109" s="5" t="s">
        <v>595</v>
      </c>
      <c r="J109" s="5"/>
      <c r="K109" s="5">
        <f>14/22*100</f>
        <v>63.636363636363633</v>
      </c>
      <c r="L109" s="5"/>
      <c r="M109" s="5"/>
      <c r="N109" s="5"/>
      <c r="O109" s="5"/>
      <c r="P109" s="5" t="s">
        <v>70</v>
      </c>
      <c r="Q109" s="5" t="s">
        <v>41</v>
      </c>
      <c r="R109" s="14" t="s">
        <v>333</v>
      </c>
      <c r="S109" s="5" t="s">
        <v>596</v>
      </c>
      <c r="T109" s="5" t="s">
        <v>597</v>
      </c>
      <c r="U109" s="5" t="s">
        <v>598</v>
      </c>
      <c r="V109" s="5" t="s">
        <v>599</v>
      </c>
      <c r="W109" s="5" t="s">
        <v>600</v>
      </c>
      <c r="X109" s="5" t="s">
        <v>547</v>
      </c>
      <c r="Y109" s="5" t="s">
        <v>601</v>
      </c>
      <c r="Z109" s="5" t="s">
        <v>602</v>
      </c>
      <c r="AA109" s="5" t="s">
        <v>603</v>
      </c>
      <c r="AB109" s="5" t="s">
        <v>604</v>
      </c>
      <c r="AC109" s="5"/>
      <c r="AD109" s="8"/>
      <c r="AE109" s="5"/>
      <c r="AF109" s="8"/>
      <c r="AG109" s="4" t="s">
        <v>605</v>
      </c>
      <c r="AH109" s="5"/>
      <c r="AI109" s="5"/>
      <c r="AJ109" s="5"/>
      <c r="AK109" s="5"/>
      <c r="AL109" s="5"/>
      <c r="AM109" s="5"/>
      <c r="AN109" s="5"/>
    </row>
    <row r="110" spans="1:40" ht="63.75" x14ac:dyDescent="0.35">
      <c r="A110" s="9">
        <v>36</v>
      </c>
      <c r="B110" s="5" t="s">
        <v>606</v>
      </c>
      <c r="C110" s="5"/>
      <c r="D110" s="5"/>
      <c r="E110" s="5"/>
      <c r="F110" s="5"/>
      <c r="G110" s="5"/>
      <c r="H110" s="5">
        <v>15</v>
      </c>
      <c r="I110" s="5" t="s">
        <v>607</v>
      </c>
      <c r="J110" s="5"/>
      <c r="K110" s="5">
        <f>9/15*100</f>
        <v>60</v>
      </c>
      <c r="L110" s="5"/>
      <c r="M110" s="5"/>
      <c r="N110" s="5"/>
      <c r="O110" s="5"/>
      <c r="P110" s="5" t="s">
        <v>70</v>
      </c>
      <c r="Q110" s="5" t="s">
        <v>41</v>
      </c>
      <c r="R110" s="5" t="s">
        <v>608</v>
      </c>
      <c r="S110" s="5" t="s">
        <v>518</v>
      </c>
      <c r="T110" s="5" t="s">
        <v>609</v>
      </c>
      <c r="U110" s="5" t="s">
        <v>610</v>
      </c>
      <c r="V110" s="5" t="s">
        <v>455</v>
      </c>
      <c r="W110" s="5" t="s">
        <v>511</v>
      </c>
      <c r="X110" s="5" t="s">
        <v>512</v>
      </c>
      <c r="Y110" s="5"/>
      <c r="Z110" s="5"/>
      <c r="AA110" s="5"/>
      <c r="AB110" s="5"/>
      <c r="AC110" s="5" t="s">
        <v>181</v>
      </c>
      <c r="AD110" s="8" t="s">
        <v>611</v>
      </c>
      <c r="AE110" s="11">
        <v>45671</v>
      </c>
      <c r="AF110" s="8" t="s">
        <v>612</v>
      </c>
      <c r="AG110" s="4"/>
      <c r="AH110" s="5"/>
      <c r="AI110" s="5"/>
      <c r="AJ110" s="5"/>
      <c r="AK110" s="5"/>
      <c r="AL110" s="5"/>
      <c r="AM110" s="5"/>
      <c r="AN110" s="5"/>
    </row>
    <row r="111" spans="1:40" ht="63.75" x14ac:dyDescent="0.35">
      <c r="A111" s="9">
        <v>36</v>
      </c>
      <c r="B111" s="5" t="s">
        <v>606</v>
      </c>
      <c r="C111" s="5"/>
      <c r="D111" s="5"/>
      <c r="E111" s="5"/>
      <c r="F111" s="5"/>
      <c r="G111" s="5"/>
      <c r="H111" s="5">
        <v>15</v>
      </c>
      <c r="I111" s="5" t="s">
        <v>613</v>
      </c>
      <c r="J111" s="5"/>
      <c r="K111" s="5">
        <f>10/15*100</f>
        <v>66.666666666666657</v>
      </c>
      <c r="L111" s="5">
        <v>15</v>
      </c>
      <c r="M111" s="5" t="s">
        <v>614</v>
      </c>
      <c r="N111" s="5"/>
      <c r="O111" s="5">
        <f>9/15*100</f>
        <v>60</v>
      </c>
      <c r="P111" s="5" t="s">
        <v>70</v>
      </c>
      <c r="Q111" s="5" t="s">
        <v>41</v>
      </c>
      <c r="R111" s="5" t="s">
        <v>608</v>
      </c>
      <c r="S111" s="5" t="s">
        <v>518</v>
      </c>
      <c r="T111" s="5" t="s">
        <v>609</v>
      </c>
      <c r="U111" s="5" t="s">
        <v>610</v>
      </c>
      <c r="V111" s="5" t="s">
        <v>455</v>
      </c>
      <c r="W111" s="5" t="s">
        <v>511</v>
      </c>
      <c r="X111" s="5" t="s">
        <v>512</v>
      </c>
      <c r="Y111" s="5"/>
      <c r="Z111" s="5"/>
      <c r="AA111" s="5"/>
      <c r="AB111" s="5"/>
      <c r="AC111" s="5" t="s">
        <v>181</v>
      </c>
      <c r="AD111" s="8" t="s">
        <v>615</v>
      </c>
      <c r="AE111" s="11">
        <v>45685</v>
      </c>
      <c r="AF111" s="8" t="s">
        <v>616</v>
      </c>
      <c r="AG111" s="4" t="s">
        <v>617</v>
      </c>
      <c r="AH111" s="5"/>
      <c r="AI111" s="5"/>
      <c r="AJ111" s="5"/>
      <c r="AK111" s="5"/>
      <c r="AL111" s="5"/>
      <c r="AM111" s="5"/>
      <c r="AN111" s="5"/>
    </row>
    <row r="112" spans="1:40" ht="76.5" x14ac:dyDescent="0.35">
      <c r="A112" s="35">
        <v>37</v>
      </c>
      <c r="B112" s="35" t="s">
        <v>618</v>
      </c>
      <c r="C112" s="35"/>
      <c r="D112" s="35"/>
      <c r="E112" s="35"/>
      <c r="F112" s="35"/>
      <c r="G112" s="35"/>
      <c r="H112" s="35">
        <v>7</v>
      </c>
      <c r="I112" s="35"/>
      <c r="J112" s="35"/>
      <c r="K112" s="35"/>
      <c r="L112" s="35"/>
      <c r="M112" s="35"/>
      <c r="N112" s="35"/>
      <c r="O112" s="35"/>
      <c r="P112" s="38" t="s">
        <v>379</v>
      </c>
      <c r="Q112" s="35" t="s">
        <v>41</v>
      </c>
      <c r="R112" s="35"/>
      <c r="S112" s="35"/>
      <c r="T112" s="35"/>
      <c r="U112" s="35"/>
      <c r="V112" s="35"/>
      <c r="W112" s="35"/>
      <c r="X112" s="35"/>
      <c r="Y112" s="35"/>
      <c r="Z112" s="35"/>
      <c r="AA112" s="35"/>
      <c r="AB112" s="35"/>
      <c r="AC112" s="35"/>
      <c r="AD112" s="36"/>
      <c r="AE112" s="35"/>
      <c r="AF112" s="36"/>
      <c r="AG112" s="37" t="s">
        <v>619</v>
      </c>
      <c r="AH112" s="35" t="s">
        <v>620</v>
      </c>
      <c r="AI112" s="35"/>
      <c r="AJ112" s="35"/>
      <c r="AK112" s="35"/>
      <c r="AL112" s="35"/>
      <c r="AM112" s="35"/>
      <c r="AN112" s="35"/>
    </row>
    <row r="113" spans="1:40" ht="63.75" x14ac:dyDescent="0.35">
      <c r="A113" s="5">
        <v>38</v>
      </c>
      <c r="B113" s="5" t="s">
        <v>621</v>
      </c>
      <c r="C113" s="5"/>
      <c r="D113" s="5"/>
      <c r="E113" s="5"/>
      <c r="F113" s="5"/>
      <c r="G113" s="5"/>
      <c r="H113" s="5">
        <v>19</v>
      </c>
      <c r="I113" s="5" t="s">
        <v>622</v>
      </c>
      <c r="J113" s="5"/>
      <c r="K113" s="5">
        <f>10/19*100</f>
        <v>52.631578947368418</v>
      </c>
      <c r="L113" s="5"/>
      <c r="M113" s="5"/>
      <c r="N113" s="5"/>
      <c r="O113" s="5"/>
      <c r="P113" s="5" t="s">
        <v>70</v>
      </c>
      <c r="Q113" s="5" t="s">
        <v>41</v>
      </c>
      <c r="R113" s="5" t="s">
        <v>623</v>
      </c>
      <c r="S113" s="5" t="s">
        <v>624</v>
      </c>
      <c r="T113" s="5" t="s">
        <v>191</v>
      </c>
      <c r="U113" s="5" t="s">
        <v>625</v>
      </c>
      <c r="V113" s="5" t="s">
        <v>599</v>
      </c>
      <c r="W113" s="5" t="s">
        <v>600</v>
      </c>
      <c r="X113" s="5" t="s">
        <v>547</v>
      </c>
      <c r="Y113" s="5" t="s">
        <v>626</v>
      </c>
      <c r="Z113" s="5" t="s">
        <v>616</v>
      </c>
      <c r="AA113" s="5"/>
      <c r="AB113" s="5"/>
      <c r="AC113" s="5"/>
      <c r="AD113" s="8"/>
      <c r="AE113" s="5"/>
      <c r="AF113" s="8"/>
      <c r="AG113" s="4" t="s">
        <v>627</v>
      </c>
      <c r="AH113" s="5"/>
      <c r="AI113" s="5"/>
      <c r="AJ113" s="5"/>
      <c r="AK113" s="5"/>
      <c r="AL113" s="5"/>
      <c r="AM113" s="5"/>
      <c r="AN113" s="5"/>
    </row>
    <row r="114" spans="1:40" ht="38.25" x14ac:dyDescent="0.35">
      <c r="A114" s="9">
        <v>39</v>
      </c>
      <c r="B114" s="5" t="s">
        <v>628</v>
      </c>
      <c r="C114" s="5"/>
      <c r="D114" s="5"/>
      <c r="E114" s="5"/>
      <c r="F114" s="5"/>
      <c r="G114" s="5"/>
      <c r="H114" s="5">
        <v>24</v>
      </c>
      <c r="I114" s="5" t="s">
        <v>629</v>
      </c>
      <c r="J114" s="5"/>
      <c r="K114" s="5">
        <f>23/24*100</f>
        <v>95.833333333333343</v>
      </c>
      <c r="L114" s="5"/>
      <c r="M114" s="5"/>
      <c r="N114" s="5"/>
      <c r="O114" s="5"/>
      <c r="P114" s="5"/>
      <c r="Q114" s="5"/>
      <c r="R114" s="5"/>
      <c r="S114" s="5"/>
      <c r="T114" s="5"/>
      <c r="U114" s="5"/>
      <c r="V114" s="5"/>
      <c r="W114" s="5"/>
      <c r="X114" s="5"/>
      <c r="Y114" s="5"/>
      <c r="Z114" s="5"/>
      <c r="AA114" s="5"/>
      <c r="AB114" s="5"/>
      <c r="AC114" s="5"/>
      <c r="AD114" s="8"/>
      <c r="AE114" s="5"/>
      <c r="AF114" s="8"/>
      <c r="AG114" s="4"/>
      <c r="AH114" s="5" t="s">
        <v>630</v>
      </c>
      <c r="AI114" s="5"/>
      <c r="AJ114" s="5"/>
      <c r="AK114" s="5"/>
      <c r="AL114" s="5"/>
      <c r="AM114" s="5"/>
      <c r="AN114" s="5"/>
    </row>
    <row r="115" spans="1:40" ht="38.25" x14ac:dyDescent="0.35">
      <c r="A115" s="9">
        <v>40</v>
      </c>
      <c r="B115" s="5" t="s">
        <v>631</v>
      </c>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8"/>
      <c r="AE115" s="5"/>
      <c r="AF115" s="8"/>
      <c r="AG115" s="4"/>
      <c r="AH115" s="5"/>
      <c r="AI115" s="5"/>
      <c r="AJ115" s="5"/>
      <c r="AK115" s="5"/>
      <c r="AL115" s="5"/>
      <c r="AM115" s="5"/>
      <c r="AN115" s="5"/>
    </row>
    <row r="116" spans="1:40" ht="12.75"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8"/>
      <c r="AE116" s="5"/>
      <c r="AF116" s="8"/>
      <c r="AG116" s="4"/>
      <c r="AH116" s="5"/>
      <c r="AI116" s="5"/>
      <c r="AJ116" s="5"/>
      <c r="AK116" s="5"/>
      <c r="AL116" s="5"/>
      <c r="AM116" s="5"/>
      <c r="AN116" s="5"/>
    </row>
    <row r="117" spans="1:40" ht="12.75"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8"/>
      <c r="AE117" s="5"/>
      <c r="AF117" s="8"/>
      <c r="AG117" s="4"/>
      <c r="AH117" s="5"/>
      <c r="AI117" s="5"/>
      <c r="AJ117" s="5"/>
      <c r="AK117" s="5"/>
      <c r="AL117" s="5"/>
      <c r="AM117" s="5"/>
      <c r="AN117" s="5"/>
    </row>
    <row r="118" spans="1:40" ht="12.75"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8"/>
      <c r="AE118" s="5"/>
      <c r="AF118" s="8"/>
      <c r="AG118" s="4"/>
      <c r="AH118" s="5"/>
      <c r="AI118" s="5"/>
      <c r="AJ118" s="5"/>
      <c r="AK118" s="5"/>
      <c r="AL118" s="5"/>
      <c r="AM118" s="5"/>
      <c r="AN118" s="5"/>
    </row>
    <row r="119" spans="1:40" ht="12.75"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8"/>
      <c r="AE119" s="5"/>
      <c r="AF119" s="8"/>
      <c r="AG119" s="4"/>
      <c r="AH119" s="5"/>
      <c r="AI119" s="5"/>
      <c r="AJ119" s="5"/>
      <c r="AK119" s="5"/>
      <c r="AL119" s="5"/>
      <c r="AM119" s="5"/>
      <c r="AN119" s="5"/>
    </row>
    <row r="120" spans="1:40" ht="12.75"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8"/>
      <c r="AE120" s="5"/>
      <c r="AF120" s="8"/>
      <c r="AG120" s="4"/>
      <c r="AH120" s="5"/>
      <c r="AI120" s="5"/>
      <c r="AJ120" s="5"/>
      <c r="AK120" s="5"/>
      <c r="AL120" s="5"/>
      <c r="AM120" s="5"/>
      <c r="AN120" s="5"/>
    </row>
    <row r="121" spans="1:40" ht="12.75"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8"/>
      <c r="AE121" s="5"/>
      <c r="AF121" s="8"/>
      <c r="AG121" s="4"/>
      <c r="AH121" s="5"/>
      <c r="AI121" s="5"/>
      <c r="AJ121" s="5"/>
      <c r="AK121" s="5"/>
      <c r="AL121" s="5"/>
      <c r="AM121" s="5"/>
      <c r="AN121" s="5"/>
    </row>
    <row r="122" spans="1:40" ht="12.75"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8"/>
      <c r="AE122" s="5"/>
      <c r="AF122" s="8"/>
      <c r="AG122" s="4"/>
      <c r="AH122" s="5"/>
      <c r="AI122" s="5"/>
      <c r="AJ122" s="5"/>
      <c r="AK122" s="5"/>
      <c r="AL122" s="5"/>
      <c r="AM122" s="5"/>
      <c r="AN122" s="5"/>
    </row>
    <row r="123" spans="1:40" ht="12.75"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8"/>
      <c r="AE123" s="5"/>
      <c r="AF123" s="8"/>
      <c r="AG123" s="4"/>
      <c r="AH123" s="5"/>
      <c r="AI123" s="5"/>
      <c r="AJ123" s="5"/>
      <c r="AK123" s="5"/>
      <c r="AL123" s="5"/>
      <c r="AM123" s="5"/>
      <c r="AN123" s="5"/>
    </row>
    <row r="124" spans="1:40" ht="12.75"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8"/>
      <c r="AE124" s="5"/>
      <c r="AF124" s="8"/>
      <c r="AG124" s="4"/>
      <c r="AH124" s="5"/>
      <c r="AI124" s="5"/>
      <c r="AJ124" s="5"/>
      <c r="AK124" s="5"/>
      <c r="AL124" s="5"/>
      <c r="AM124" s="5"/>
      <c r="AN124" s="5"/>
    </row>
    <row r="125" spans="1:40" ht="12.75"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8"/>
      <c r="AE125" s="5"/>
      <c r="AF125" s="8"/>
      <c r="AG125" s="4"/>
      <c r="AH125" s="5"/>
      <c r="AI125" s="5"/>
      <c r="AJ125" s="5"/>
      <c r="AK125" s="5"/>
      <c r="AL125" s="5"/>
      <c r="AM125" s="5"/>
      <c r="AN125" s="5"/>
    </row>
    <row r="126" spans="1:40" ht="12.75"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8"/>
      <c r="AE126" s="5"/>
      <c r="AF126" s="8"/>
      <c r="AG126" s="4"/>
      <c r="AH126" s="5"/>
      <c r="AI126" s="5"/>
      <c r="AJ126" s="5"/>
      <c r="AK126" s="5"/>
      <c r="AL126" s="5"/>
      <c r="AM126" s="5"/>
      <c r="AN126" s="5"/>
    </row>
    <row r="127" spans="1:40" ht="12.75"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8"/>
      <c r="AE127" s="5"/>
      <c r="AF127" s="8"/>
      <c r="AG127" s="4"/>
      <c r="AH127" s="5"/>
      <c r="AI127" s="5"/>
      <c r="AJ127" s="5"/>
      <c r="AK127" s="5"/>
      <c r="AL127" s="5"/>
      <c r="AM127" s="5"/>
      <c r="AN127" s="5"/>
    </row>
    <row r="128" spans="1:40" ht="12.75" x14ac:dyDescent="0.3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8"/>
      <c r="AE128" s="5"/>
      <c r="AF128" s="8"/>
      <c r="AG128" s="4"/>
      <c r="AH128" s="5"/>
      <c r="AI128" s="5"/>
      <c r="AJ128" s="5"/>
      <c r="AK128" s="5"/>
      <c r="AL128" s="5"/>
      <c r="AM128" s="5"/>
      <c r="AN128" s="5"/>
    </row>
    <row r="129" spans="1:40" ht="12.75"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8"/>
      <c r="AE129" s="5"/>
      <c r="AF129" s="8"/>
      <c r="AG129" s="4"/>
      <c r="AH129" s="5"/>
      <c r="AI129" s="5"/>
      <c r="AJ129" s="5"/>
      <c r="AK129" s="5"/>
      <c r="AL129" s="5"/>
      <c r="AM129" s="5"/>
      <c r="AN129" s="5"/>
    </row>
    <row r="130" spans="1:40" ht="12.75"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8"/>
      <c r="AE130" s="5"/>
      <c r="AF130" s="8"/>
      <c r="AG130" s="4"/>
      <c r="AH130" s="5"/>
      <c r="AI130" s="5"/>
      <c r="AJ130" s="5"/>
      <c r="AK130" s="5"/>
      <c r="AL130" s="5"/>
      <c r="AM130" s="5"/>
      <c r="AN130" s="5"/>
    </row>
    <row r="131" spans="1:40" ht="12.75"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8"/>
      <c r="AE131" s="5"/>
      <c r="AF131" s="8"/>
      <c r="AG131" s="4"/>
      <c r="AH131" s="5"/>
      <c r="AI131" s="5"/>
      <c r="AJ131" s="5"/>
      <c r="AK131" s="5"/>
      <c r="AL131" s="5"/>
      <c r="AM131" s="5"/>
      <c r="AN131" s="5"/>
    </row>
    <row r="132" spans="1:40" ht="12.75"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8"/>
      <c r="AE132" s="5"/>
      <c r="AF132" s="8"/>
      <c r="AG132" s="4"/>
      <c r="AH132" s="5"/>
      <c r="AI132" s="5"/>
      <c r="AJ132" s="5"/>
      <c r="AK132" s="5"/>
      <c r="AL132" s="5"/>
      <c r="AM132" s="5"/>
      <c r="AN132" s="5"/>
    </row>
    <row r="133" spans="1:40" ht="12.75"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8"/>
      <c r="AE133" s="5"/>
      <c r="AF133" s="8"/>
      <c r="AG133" s="4"/>
      <c r="AH133" s="5"/>
      <c r="AI133" s="5"/>
      <c r="AJ133" s="5"/>
      <c r="AK133" s="5"/>
      <c r="AL133" s="5"/>
      <c r="AM133" s="5"/>
      <c r="AN133" s="5"/>
    </row>
    <row r="134" spans="1:40" ht="12.75"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8"/>
      <c r="AE134" s="5"/>
      <c r="AF134" s="8"/>
      <c r="AG134" s="4"/>
      <c r="AH134" s="5"/>
      <c r="AI134" s="5"/>
      <c r="AJ134" s="5"/>
      <c r="AK134" s="5"/>
      <c r="AL134" s="5"/>
      <c r="AM134" s="5"/>
      <c r="AN134" s="5"/>
    </row>
    <row r="135" spans="1:40" ht="12.75" x14ac:dyDescent="0.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8"/>
      <c r="AE135" s="5"/>
      <c r="AF135" s="8"/>
      <c r="AG135" s="4"/>
      <c r="AH135" s="5"/>
      <c r="AI135" s="5"/>
      <c r="AJ135" s="5"/>
      <c r="AK135" s="5"/>
      <c r="AL135" s="5"/>
      <c r="AM135" s="5"/>
      <c r="AN135" s="5"/>
    </row>
    <row r="136" spans="1:40" ht="12.75"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8"/>
      <c r="AE136" s="5"/>
      <c r="AF136" s="8"/>
      <c r="AG136" s="4"/>
      <c r="AH136" s="5"/>
      <c r="AI136" s="5"/>
      <c r="AJ136" s="5"/>
      <c r="AK136" s="5"/>
      <c r="AL136" s="5"/>
      <c r="AM136" s="5"/>
      <c r="AN136" s="5"/>
    </row>
    <row r="137" spans="1:40" ht="12.75"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8"/>
      <c r="AE137" s="5"/>
      <c r="AF137" s="8"/>
      <c r="AG137" s="4"/>
      <c r="AH137" s="5"/>
      <c r="AI137" s="5"/>
      <c r="AJ137" s="5"/>
      <c r="AK137" s="5"/>
      <c r="AL137" s="5"/>
      <c r="AM137" s="5"/>
      <c r="AN137" s="5"/>
    </row>
    <row r="138" spans="1:40" ht="12.75"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8"/>
      <c r="AE138" s="5"/>
      <c r="AF138" s="8"/>
      <c r="AG138" s="4"/>
      <c r="AH138" s="5"/>
      <c r="AI138" s="5"/>
      <c r="AJ138" s="5"/>
      <c r="AK138" s="5"/>
      <c r="AL138" s="5"/>
      <c r="AM138" s="5"/>
      <c r="AN138" s="5"/>
    </row>
    <row r="139" spans="1:40" ht="12.75"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8"/>
      <c r="AE139" s="5"/>
      <c r="AF139" s="8"/>
      <c r="AG139" s="4"/>
      <c r="AH139" s="5"/>
      <c r="AI139" s="5"/>
      <c r="AJ139" s="5"/>
      <c r="AK139" s="5"/>
      <c r="AL139" s="5"/>
      <c r="AM139" s="5"/>
      <c r="AN139" s="5"/>
    </row>
    <row r="140" spans="1:40" ht="12.75"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8"/>
      <c r="AE140" s="5"/>
      <c r="AF140" s="8"/>
      <c r="AG140" s="4"/>
      <c r="AH140" s="5"/>
      <c r="AI140" s="5"/>
      <c r="AJ140" s="5"/>
      <c r="AK140" s="5"/>
      <c r="AL140" s="5"/>
      <c r="AM140" s="5"/>
      <c r="AN140" s="5"/>
    </row>
    <row r="141" spans="1:40" ht="12.75"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8"/>
      <c r="AE141" s="5"/>
      <c r="AF141" s="8"/>
      <c r="AG141" s="4"/>
      <c r="AH141" s="5"/>
      <c r="AI141" s="5"/>
      <c r="AJ141" s="5"/>
      <c r="AK141" s="5"/>
      <c r="AL141" s="5"/>
      <c r="AM141" s="5"/>
      <c r="AN141" s="5"/>
    </row>
    <row r="142" spans="1:40" ht="12.75"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8"/>
      <c r="AE142" s="5"/>
      <c r="AF142" s="8"/>
      <c r="AG142" s="4"/>
      <c r="AH142" s="5"/>
      <c r="AI142" s="5"/>
      <c r="AJ142" s="5"/>
      <c r="AK142" s="5"/>
      <c r="AL142" s="5"/>
      <c r="AM142" s="5"/>
      <c r="AN142" s="5"/>
    </row>
    <row r="143" spans="1:40" ht="12.75"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8"/>
      <c r="AE143" s="5"/>
      <c r="AF143" s="8"/>
      <c r="AG143" s="4"/>
      <c r="AH143" s="5"/>
      <c r="AI143" s="5"/>
      <c r="AJ143" s="5"/>
      <c r="AK143" s="5"/>
      <c r="AL143" s="5"/>
      <c r="AM143" s="5"/>
      <c r="AN143" s="5"/>
    </row>
    <row r="144" spans="1:40" ht="12.75"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8"/>
      <c r="AE144" s="5"/>
      <c r="AF144" s="8"/>
      <c r="AG144" s="4"/>
      <c r="AH144" s="5"/>
      <c r="AI144" s="5"/>
      <c r="AJ144" s="5"/>
      <c r="AK144" s="5"/>
      <c r="AL144" s="5"/>
      <c r="AM144" s="5"/>
      <c r="AN144" s="5"/>
    </row>
    <row r="145" spans="1:40" ht="12.75"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8"/>
      <c r="AE145" s="5"/>
      <c r="AF145" s="8"/>
      <c r="AG145" s="4"/>
      <c r="AH145" s="5"/>
      <c r="AI145" s="5"/>
      <c r="AJ145" s="5"/>
      <c r="AK145" s="5"/>
      <c r="AL145" s="5"/>
      <c r="AM145" s="5"/>
      <c r="AN145" s="5"/>
    </row>
    <row r="146" spans="1:40" ht="12.75"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8"/>
      <c r="AE146" s="5"/>
      <c r="AF146" s="8"/>
      <c r="AG146" s="4"/>
      <c r="AH146" s="5"/>
      <c r="AI146" s="5"/>
      <c r="AJ146" s="5"/>
      <c r="AK146" s="5"/>
      <c r="AL146" s="5"/>
      <c r="AM146" s="5"/>
      <c r="AN146" s="5"/>
    </row>
    <row r="147" spans="1:40" ht="12.75"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8"/>
      <c r="AE147" s="5"/>
      <c r="AF147" s="8"/>
      <c r="AG147" s="4"/>
      <c r="AH147" s="5"/>
      <c r="AI147" s="5"/>
      <c r="AJ147" s="5"/>
      <c r="AK147" s="5"/>
      <c r="AL147" s="5"/>
      <c r="AM147" s="5"/>
      <c r="AN147" s="5"/>
    </row>
    <row r="148" spans="1:40" ht="12.75" x14ac:dyDescent="0.3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8"/>
      <c r="AE148" s="5"/>
      <c r="AF148" s="8"/>
      <c r="AG148" s="4"/>
      <c r="AH148" s="5"/>
      <c r="AI148" s="5"/>
      <c r="AJ148" s="5"/>
      <c r="AK148" s="5"/>
      <c r="AL148" s="5"/>
      <c r="AM148" s="5"/>
      <c r="AN148" s="5"/>
    </row>
    <row r="149" spans="1:40" ht="12.75"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8"/>
      <c r="AE149" s="5"/>
      <c r="AF149" s="8"/>
      <c r="AG149" s="4"/>
      <c r="AH149" s="5"/>
      <c r="AI149" s="5"/>
      <c r="AJ149" s="5"/>
      <c r="AK149" s="5"/>
      <c r="AL149" s="5"/>
      <c r="AM149" s="5"/>
      <c r="AN149" s="5"/>
    </row>
    <row r="150" spans="1:40" ht="12.75"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8"/>
      <c r="AE150" s="5"/>
      <c r="AF150" s="8"/>
      <c r="AG150" s="4"/>
      <c r="AH150" s="5"/>
      <c r="AI150" s="5"/>
      <c r="AJ150" s="5"/>
      <c r="AK150" s="5"/>
      <c r="AL150" s="5"/>
      <c r="AM150" s="5"/>
      <c r="AN150" s="5"/>
    </row>
    <row r="151" spans="1:40" ht="12.75"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8"/>
      <c r="AE151" s="5"/>
      <c r="AF151" s="8"/>
      <c r="AG151" s="4"/>
      <c r="AH151" s="5"/>
      <c r="AI151" s="5"/>
      <c r="AJ151" s="5"/>
      <c r="AK151" s="5"/>
      <c r="AL151" s="5"/>
      <c r="AM151" s="5"/>
      <c r="AN151" s="5"/>
    </row>
    <row r="152" spans="1:40" ht="12.75"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8"/>
      <c r="AE152" s="5"/>
      <c r="AF152" s="8"/>
      <c r="AG152" s="4"/>
      <c r="AH152" s="5"/>
      <c r="AI152" s="5"/>
      <c r="AJ152" s="5"/>
      <c r="AK152" s="5"/>
      <c r="AL152" s="5"/>
      <c r="AM152" s="5"/>
      <c r="AN152" s="5"/>
    </row>
    <row r="153" spans="1:40" ht="12.75"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8"/>
      <c r="AE153" s="5"/>
      <c r="AF153" s="8"/>
      <c r="AG153" s="4"/>
      <c r="AH153" s="5"/>
      <c r="AI153" s="5"/>
      <c r="AJ153" s="5"/>
      <c r="AK153" s="5"/>
      <c r="AL153" s="5"/>
      <c r="AM153" s="5"/>
      <c r="AN153" s="5"/>
    </row>
    <row r="154" spans="1:40" ht="12.75"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8"/>
      <c r="AE154" s="5"/>
      <c r="AF154" s="8"/>
      <c r="AG154" s="4"/>
      <c r="AH154" s="5"/>
      <c r="AI154" s="5"/>
      <c r="AJ154" s="5"/>
      <c r="AK154" s="5"/>
      <c r="AL154" s="5"/>
      <c r="AM154" s="5"/>
      <c r="AN154" s="5"/>
    </row>
    <row r="155" spans="1:40" ht="12.75"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8"/>
      <c r="AE155" s="5"/>
      <c r="AF155" s="8"/>
      <c r="AG155" s="4"/>
      <c r="AH155" s="5"/>
      <c r="AI155" s="5"/>
      <c r="AJ155" s="5"/>
      <c r="AK155" s="5"/>
      <c r="AL155" s="5"/>
      <c r="AM155" s="5"/>
      <c r="AN155" s="5"/>
    </row>
    <row r="156" spans="1:40" ht="12.75"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8"/>
      <c r="AE156" s="5"/>
      <c r="AF156" s="8"/>
      <c r="AG156" s="4"/>
      <c r="AH156" s="5"/>
      <c r="AI156" s="5"/>
      <c r="AJ156" s="5"/>
      <c r="AK156" s="5"/>
      <c r="AL156" s="5"/>
      <c r="AM156" s="5"/>
      <c r="AN156" s="5"/>
    </row>
    <row r="157" spans="1:40" ht="12.75"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8"/>
      <c r="AE157" s="5"/>
      <c r="AF157" s="8"/>
      <c r="AG157" s="4"/>
      <c r="AH157" s="5"/>
      <c r="AI157" s="5"/>
      <c r="AJ157" s="5"/>
      <c r="AK157" s="5"/>
      <c r="AL157" s="5"/>
      <c r="AM157" s="5"/>
      <c r="AN157" s="5"/>
    </row>
    <row r="158" spans="1:40" ht="12.75"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8"/>
      <c r="AE158" s="5"/>
      <c r="AF158" s="8"/>
      <c r="AG158" s="4"/>
      <c r="AH158" s="5"/>
      <c r="AI158" s="5"/>
      <c r="AJ158" s="5"/>
      <c r="AK158" s="5"/>
      <c r="AL158" s="5"/>
      <c r="AM158" s="5"/>
      <c r="AN158" s="5"/>
    </row>
    <row r="159" spans="1:40" ht="12.75"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8"/>
      <c r="AE159" s="5"/>
      <c r="AF159" s="8"/>
      <c r="AG159" s="4"/>
      <c r="AH159" s="5"/>
      <c r="AI159" s="5"/>
      <c r="AJ159" s="5"/>
      <c r="AK159" s="5"/>
      <c r="AL159" s="5"/>
      <c r="AM159" s="5"/>
      <c r="AN159" s="5"/>
    </row>
    <row r="160" spans="1:40" ht="12.75"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8"/>
      <c r="AE160" s="5"/>
      <c r="AF160" s="8"/>
      <c r="AG160" s="4"/>
      <c r="AH160" s="5"/>
      <c r="AI160" s="5"/>
      <c r="AJ160" s="5"/>
      <c r="AK160" s="5"/>
      <c r="AL160" s="5"/>
      <c r="AM160" s="5"/>
      <c r="AN160" s="5"/>
    </row>
    <row r="161" spans="1:40" ht="12.75"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8"/>
      <c r="AE161" s="5"/>
      <c r="AF161" s="8"/>
      <c r="AG161" s="4"/>
      <c r="AH161" s="5"/>
      <c r="AI161" s="5"/>
      <c r="AJ161" s="5"/>
      <c r="AK161" s="5"/>
      <c r="AL161" s="5"/>
      <c r="AM161" s="5"/>
      <c r="AN161" s="5"/>
    </row>
    <row r="162" spans="1:40" ht="12.75"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8"/>
      <c r="AE162" s="5"/>
      <c r="AF162" s="8"/>
      <c r="AG162" s="4"/>
      <c r="AH162" s="5"/>
      <c r="AI162" s="5"/>
      <c r="AJ162" s="5"/>
      <c r="AK162" s="5"/>
      <c r="AL162" s="5"/>
      <c r="AM162" s="5"/>
      <c r="AN162" s="5"/>
    </row>
    <row r="163" spans="1:40" ht="12.75"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8"/>
      <c r="AE163" s="5"/>
      <c r="AF163" s="8"/>
      <c r="AG163" s="4"/>
      <c r="AH163" s="5"/>
      <c r="AI163" s="5"/>
      <c r="AJ163" s="5"/>
      <c r="AK163" s="5"/>
      <c r="AL163" s="5"/>
      <c r="AM163" s="5"/>
      <c r="AN163" s="5"/>
    </row>
    <row r="164" spans="1:40" ht="12.75"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8"/>
      <c r="AE164" s="5"/>
      <c r="AF164" s="8"/>
      <c r="AG164" s="4"/>
      <c r="AH164" s="5"/>
      <c r="AI164" s="5"/>
      <c r="AJ164" s="5"/>
      <c r="AK164" s="5"/>
      <c r="AL164" s="5"/>
      <c r="AM164" s="5"/>
      <c r="AN164" s="5"/>
    </row>
    <row r="165" spans="1:40" ht="12.75"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8"/>
      <c r="AE165" s="5"/>
      <c r="AF165" s="8"/>
      <c r="AG165" s="4"/>
      <c r="AH165" s="5"/>
      <c r="AI165" s="5"/>
      <c r="AJ165" s="5"/>
      <c r="AK165" s="5"/>
      <c r="AL165" s="5"/>
      <c r="AM165" s="5"/>
      <c r="AN165" s="5"/>
    </row>
    <row r="166" spans="1:40" ht="12.75"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8"/>
      <c r="AE166" s="5"/>
      <c r="AF166" s="8"/>
      <c r="AG166" s="4"/>
      <c r="AH166" s="5"/>
      <c r="AI166" s="5"/>
      <c r="AJ166" s="5"/>
      <c r="AK166" s="5"/>
      <c r="AL166" s="5"/>
      <c r="AM166" s="5"/>
      <c r="AN166" s="5"/>
    </row>
    <row r="167" spans="1:40" ht="12.75"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8"/>
      <c r="AE167" s="5"/>
      <c r="AF167" s="8"/>
      <c r="AG167" s="4"/>
      <c r="AH167" s="5"/>
      <c r="AI167" s="5"/>
      <c r="AJ167" s="5"/>
      <c r="AK167" s="5"/>
      <c r="AL167" s="5"/>
      <c r="AM167" s="5"/>
      <c r="AN167" s="5"/>
    </row>
    <row r="168" spans="1:40" ht="12.75" x14ac:dyDescent="0.3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8"/>
      <c r="AE168" s="5"/>
      <c r="AF168" s="8"/>
      <c r="AG168" s="4"/>
      <c r="AH168" s="5"/>
      <c r="AI168" s="5"/>
      <c r="AJ168" s="5"/>
      <c r="AK168" s="5"/>
      <c r="AL168" s="5"/>
      <c r="AM168" s="5"/>
      <c r="AN168" s="5"/>
    </row>
    <row r="169" spans="1:40" ht="12.75"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8"/>
      <c r="AE169" s="5"/>
      <c r="AF169" s="8"/>
      <c r="AG169" s="4"/>
      <c r="AH169" s="5"/>
      <c r="AI169" s="5"/>
      <c r="AJ169" s="5"/>
      <c r="AK169" s="5"/>
      <c r="AL169" s="5"/>
      <c r="AM169" s="5"/>
      <c r="AN169" s="5"/>
    </row>
    <row r="170" spans="1:40" ht="12.75"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8"/>
      <c r="AE170" s="5"/>
      <c r="AF170" s="8"/>
      <c r="AG170" s="4"/>
      <c r="AH170" s="5"/>
      <c r="AI170" s="5"/>
      <c r="AJ170" s="5"/>
      <c r="AK170" s="5"/>
      <c r="AL170" s="5"/>
      <c r="AM170" s="5"/>
      <c r="AN170" s="5"/>
    </row>
    <row r="171" spans="1:40" ht="12.75"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8"/>
      <c r="AE171" s="5"/>
      <c r="AF171" s="8"/>
      <c r="AG171" s="4"/>
      <c r="AH171" s="5"/>
      <c r="AI171" s="5"/>
      <c r="AJ171" s="5"/>
      <c r="AK171" s="5"/>
      <c r="AL171" s="5"/>
      <c r="AM171" s="5"/>
      <c r="AN171" s="5"/>
    </row>
    <row r="172" spans="1:40" ht="12.75"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8"/>
      <c r="AE172" s="5"/>
      <c r="AF172" s="8"/>
      <c r="AG172" s="4"/>
      <c r="AH172" s="5"/>
      <c r="AI172" s="5"/>
      <c r="AJ172" s="5"/>
      <c r="AK172" s="5"/>
      <c r="AL172" s="5"/>
      <c r="AM172" s="5"/>
      <c r="AN172" s="5"/>
    </row>
    <row r="173" spans="1:40" ht="12.75"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8"/>
      <c r="AE173" s="5"/>
      <c r="AF173" s="8"/>
      <c r="AG173" s="4"/>
      <c r="AH173" s="5"/>
      <c r="AI173" s="5"/>
      <c r="AJ173" s="5"/>
      <c r="AK173" s="5"/>
      <c r="AL173" s="5"/>
      <c r="AM173" s="5"/>
      <c r="AN173" s="5"/>
    </row>
    <row r="174" spans="1:40" ht="12.75"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8"/>
      <c r="AE174" s="5"/>
      <c r="AF174" s="8"/>
      <c r="AG174" s="4"/>
      <c r="AH174" s="5"/>
      <c r="AI174" s="5"/>
      <c r="AJ174" s="5"/>
      <c r="AK174" s="5"/>
      <c r="AL174" s="5"/>
      <c r="AM174" s="5"/>
      <c r="AN174" s="5"/>
    </row>
    <row r="175" spans="1:40" ht="12.75"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8"/>
      <c r="AE175" s="5"/>
      <c r="AF175" s="8"/>
      <c r="AG175" s="4"/>
      <c r="AH175" s="5"/>
      <c r="AI175" s="5"/>
      <c r="AJ175" s="5"/>
      <c r="AK175" s="5"/>
      <c r="AL175" s="5"/>
      <c r="AM175" s="5"/>
      <c r="AN175" s="5"/>
    </row>
    <row r="176" spans="1:40" ht="12.75"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8"/>
      <c r="AE176" s="5"/>
      <c r="AF176" s="8"/>
      <c r="AG176" s="4"/>
      <c r="AH176" s="5"/>
      <c r="AI176" s="5"/>
      <c r="AJ176" s="5"/>
      <c r="AK176" s="5"/>
      <c r="AL176" s="5"/>
      <c r="AM176" s="5"/>
      <c r="AN176" s="5"/>
    </row>
    <row r="177" spans="1:40" ht="12.75"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8"/>
      <c r="AE177" s="5"/>
      <c r="AF177" s="8"/>
      <c r="AG177" s="4"/>
      <c r="AH177" s="5"/>
      <c r="AI177" s="5"/>
      <c r="AJ177" s="5"/>
      <c r="AK177" s="5"/>
      <c r="AL177" s="5"/>
      <c r="AM177" s="5"/>
      <c r="AN177" s="5"/>
    </row>
    <row r="178" spans="1:40" ht="12.75"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8"/>
      <c r="AE178" s="5"/>
      <c r="AF178" s="8"/>
      <c r="AG178" s="4"/>
      <c r="AH178" s="5"/>
      <c r="AI178" s="5"/>
      <c r="AJ178" s="5"/>
      <c r="AK178" s="5"/>
      <c r="AL178" s="5"/>
      <c r="AM178" s="5"/>
      <c r="AN178" s="5"/>
    </row>
    <row r="179" spans="1:40" ht="12.75"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8"/>
      <c r="AE179" s="5"/>
      <c r="AF179" s="8"/>
      <c r="AG179" s="4"/>
      <c r="AH179" s="5"/>
      <c r="AI179" s="5"/>
      <c r="AJ179" s="5"/>
      <c r="AK179" s="5"/>
      <c r="AL179" s="5"/>
      <c r="AM179" s="5"/>
      <c r="AN179" s="5"/>
    </row>
    <row r="180" spans="1:40" ht="12.75"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8"/>
      <c r="AE180" s="5"/>
      <c r="AF180" s="8"/>
      <c r="AG180" s="4"/>
      <c r="AH180" s="5"/>
      <c r="AI180" s="5"/>
      <c r="AJ180" s="5"/>
      <c r="AK180" s="5"/>
      <c r="AL180" s="5"/>
      <c r="AM180" s="5"/>
      <c r="AN180" s="5"/>
    </row>
    <row r="181" spans="1:40" ht="12.75"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8"/>
      <c r="AE181" s="5"/>
      <c r="AF181" s="8"/>
      <c r="AG181" s="4"/>
      <c r="AH181" s="5"/>
      <c r="AI181" s="5"/>
      <c r="AJ181" s="5"/>
      <c r="AK181" s="5"/>
      <c r="AL181" s="5"/>
      <c r="AM181" s="5"/>
      <c r="AN181" s="5"/>
    </row>
    <row r="182" spans="1:40" ht="12.75"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8"/>
      <c r="AE182" s="5"/>
      <c r="AF182" s="8"/>
      <c r="AG182" s="4"/>
      <c r="AH182" s="5"/>
      <c r="AI182" s="5"/>
      <c r="AJ182" s="5"/>
      <c r="AK182" s="5"/>
      <c r="AL182" s="5"/>
      <c r="AM182" s="5"/>
      <c r="AN182" s="5"/>
    </row>
    <row r="183" spans="1:40" ht="12.75"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8"/>
      <c r="AE183" s="5"/>
      <c r="AF183" s="8"/>
      <c r="AG183" s="4"/>
      <c r="AH183" s="5"/>
      <c r="AI183" s="5"/>
      <c r="AJ183" s="5"/>
      <c r="AK183" s="5"/>
      <c r="AL183" s="5"/>
      <c r="AM183" s="5"/>
      <c r="AN183" s="5"/>
    </row>
    <row r="184" spans="1:40" ht="12.75"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8"/>
      <c r="AE184" s="5"/>
      <c r="AF184" s="8"/>
      <c r="AG184" s="4"/>
      <c r="AH184" s="5"/>
      <c r="AI184" s="5"/>
      <c r="AJ184" s="5"/>
      <c r="AK184" s="5"/>
      <c r="AL184" s="5"/>
      <c r="AM184" s="5"/>
      <c r="AN184" s="5"/>
    </row>
    <row r="185" spans="1:40" ht="12.75"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8"/>
      <c r="AE185" s="5"/>
      <c r="AF185" s="8"/>
      <c r="AG185" s="4"/>
      <c r="AH185" s="5"/>
      <c r="AI185" s="5"/>
      <c r="AJ185" s="5"/>
      <c r="AK185" s="5"/>
      <c r="AL185" s="5"/>
      <c r="AM185" s="5"/>
      <c r="AN185" s="5"/>
    </row>
    <row r="186" spans="1:40" ht="12.75"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8"/>
      <c r="AE186" s="5"/>
      <c r="AF186" s="8"/>
      <c r="AG186" s="4"/>
      <c r="AH186" s="5"/>
      <c r="AI186" s="5"/>
      <c r="AJ186" s="5"/>
      <c r="AK186" s="5"/>
      <c r="AL186" s="5"/>
      <c r="AM186" s="5"/>
      <c r="AN186" s="5"/>
    </row>
    <row r="187" spans="1:40" ht="12.75"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8"/>
      <c r="AE187" s="5"/>
      <c r="AF187" s="8"/>
      <c r="AG187" s="4"/>
      <c r="AH187" s="5"/>
      <c r="AI187" s="5"/>
      <c r="AJ187" s="5"/>
      <c r="AK187" s="5"/>
      <c r="AL187" s="5"/>
      <c r="AM187" s="5"/>
      <c r="AN187" s="5"/>
    </row>
    <row r="188" spans="1:40" ht="12.75"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8"/>
      <c r="AE188" s="5"/>
      <c r="AF188" s="8"/>
      <c r="AG188" s="4"/>
      <c r="AH188" s="5"/>
      <c r="AI188" s="5"/>
      <c r="AJ188" s="5"/>
      <c r="AK188" s="5"/>
      <c r="AL188" s="5"/>
      <c r="AM188" s="5"/>
      <c r="AN188" s="5"/>
    </row>
    <row r="189" spans="1:40" ht="12.75"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8"/>
      <c r="AE189" s="5"/>
      <c r="AF189" s="8"/>
      <c r="AG189" s="4"/>
      <c r="AH189" s="5"/>
      <c r="AI189" s="5"/>
      <c r="AJ189" s="5"/>
      <c r="AK189" s="5"/>
      <c r="AL189" s="5"/>
      <c r="AM189" s="5"/>
      <c r="AN189" s="5"/>
    </row>
    <row r="190" spans="1:40" ht="12.75"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8"/>
      <c r="AE190" s="5"/>
      <c r="AF190" s="8"/>
      <c r="AG190" s="4"/>
      <c r="AH190" s="5"/>
      <c r="AI190" s="5"/>
      <c r="AJ190" s="5"/>
      <c r="AK190" s="5"/>
      <c r="AL190" s="5"/>
      <c r="AM190" s="5"/>
      <c r="AN190" s="5"/>
    </row>
    <row r="191" spans="1:40" ht="12.75"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8"/>
      <c r="AE191" s="5"/>
      <c r="AF191" s="8"/>
      <c r="AG191" s="4"/>
      <c r="AH191" s="5"/>
      <c r="AI191" s="5"/>
      <c r="AJ191" s="5"/>
      <c r="AK191" s="5"/>
      <c r="AL191" s="5"/>
      <c r="AM191" s="5"/>
      <c r="AN191" s="5"/>
    </row>
    <row r="192" spans="1:40" ht="12.75"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8"/>
      <c r="AE192" s="5"/>
      <c r="AF192" s="8"/>
      <c r="AG192" s="4"/>
      <c r="AH192" s="5"/>
      <c r="AI192" s="5"/>
      <c r="AJ192" s="5"/>
      <c r="AK192" s="5"/>
      <c r="AL192" s="5"/>
      <c r="AM192" s="5"/>
      <c r="AN192" s="5"/>
    </row>
    <row r="193" spans="1:40" ht="12.75"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8"/>
      <c r="AE193" s="5"/>
      <c r="AF193" s="8"/>
      <c r="AG193" s="4"/>
      <c r="AH193" s="5"/>
      <c r="AI193" s="5"/>
      <c r="AJ193" s="5"/>
      <c r="AK193" s="5"/>
      <c r="AL193" s="5"/>
      <c r="AM193" s="5"/>
      <c r="AN193" s="5"/>
    </row>
    <row r="194" spans="1:40" ht="12.75"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8"/>
      <c r="AE194" s="5"/>
      <c r="AF194" s="8"/>
      <c r="AG194" s="4"/>
      <c r="AH194" s="5"/>
      <c r="AI194" s="5"/>
      <c r="AJ194" s="5"/>
      <c r="AK194" s="5"/>
      <c r="AL194" s="5"/>
      <c r="AM194" s="5"/>
      <c r="AN194" s="5"/>
    </row>
    <row r="195" spans="1:40" ht="12.75"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8"/>
      <c r="AE195" s="5"/>
      <c r="AF195" s="8"/>
      <c r="AG195" s="4"/>
      <c r="AH195" s="5"/>
      <c r="AI195" s="5"/>
      <c r="AJ195" s="5"/>
      <c r="AK195" s="5"/>
      <c r="AL195" s="5"/>
      <c r="AM195" s="5"/>
      <c r="AN195" s="5"/>
    </row>
    <row r="196" spans="1:40" ht="12.75"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8"/>
      <c r="AE196" s="5"/>
      <c r="AF196" s="8"/>
      <c r="AG196" s="4"/>
      <c r="AH196" s="5"/>
      <c r="AI196" s="5"/>
      <c r="AJ196" s="5"/>
      <c r="AK196" s="5"/>
      <c r="AL196" s="5"/>
      <c r="AM196" s="5"/>
      <c r="AN196" s="5"/>
    </row>
    <row r="197" spans="1:40" ht="12.75"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8"/>
      <c r="AE197" s="5"/>
      <c r="AF197" s="8"/>
      <c r="AG197" s="4"/>
      <c r="AH197" s="5"/>
      <c r="AI197" s="5"/>
      <c r="AJ197" s="5"/>
      <c r="AK197" s="5"/>
      <c r="AL197" s="5"/>
      <c r="AM197" s="5"/>
      <c r="AN197" s="5"/>
    </row>
    <row r="198" spans="1:40" ht="12.75"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8"/>
      <c r="AE198" s="5"/>
      <c r="AF198" s="8"/>
      <c r="AG198" s="4"/>
      <c r="AH198" s="5"/>
      <c r="AI198" s="5"/>
      <c r="AJ198" s="5"/>
      <c r="AK198" s="5"/>
      <c r="AL198" s="5"/>
      <c r="AM198" s="5"/>
      <c r="AN198" s="5"/>
    </row>
    <row r="199" spans="1:40" ht="12.75"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8"/>
      <c r="AE199" s="5"/>
      <c r="AF199" s="8"/>
      <c r="AG199" s="4"/>
      <c r="AH199" s="5"/>
      <c r="AI199" s="5"/>
      <c r="AJ199" s="5"/>
      <c r="AK199" s="5"/>
      <c r="AL199" s="5"/>
      <c r="AM199" s="5"/>
      <c r="AN199" s="5"/>
    </row>
    <row r="200" spans="1:40" ht="12.75"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8"/>
      <c r="AE200" s="5"/>
      <c r="AF200" s="8"/>
      <c r="AG200" s="4"/>
      <c r="AH200" s="5"/>
      <c r="AI200" s="5"/>
      <c r="AJ200" s="5"/>
      <c r="AK200" s="5"/>
      <c r="AL200" s="5"/>
      <c r="AM200" s="5"/>
      <c r="AN200" s="5"/>
    </row>
    <row r="201" spans="1:40" ht="12.75"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8"/>
      <c r="AE201" s="5"/>
      <c r="AF201" s="8"/>
      <c r="AG201" s="4"/>
      <c r="AH201" s="5"/>
      <c r="AI201" s="5"/>
      <c r="AJ201" s="5"/>
      <c r="AK201" s="5"/>
      <c r="AL201" s="5"/>
      <c r="AM201" s="5"/>
      <c r="AN201" s="5"/>
    </row>
    <row r="202" spans="1:40" ht="12.75"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8"/>
      <c r="AE202" s="5"/>
      <c r="AF202" s="8"/>
      <c r="AG202" s="4"/>
      <c r="AH202" s="5"/>
      <c r="AI202" s="5"/>
      <c r="AJ202" s="5"/>
      <c r="AK202" s="5"/>
      <c r="AL202" s="5"/>
      <c r="AM202" s="5"/>
      <c r="AN202" s="5"/>
    </row>
    <row r="203" spans="1:40" ht="12.75"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8"/>
      <c r="AE203" s="5"/>
      <c r="AF203" s="8"/>
      <c r="AG203" s="4"/>
      <c r="AH203" s="5"/>
      <c r="AI203" s="5"/>
      <c r="AJ203" s="5"/>
      <c r="AK203" s="5"/>
      <c r="AL203" s="5"/>
      <c r="AM203" s="5"/>
      <c r="AN203" s="5"/>
    </row>
    <row r="204" spans="1:40" ht="12.75"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8"/>
      <c r="AE204" s="5"/>
      <c r="AF204" s="8"/>
      <c r="AG204" s="4"/>
      <c r="AH204" s="5"/>
      <c r="AI204" s="5"/>
      <c r="AJ204" s="5"/>
      <c r="AK204" s="5"/>
      <c r="AL204" s="5"/>
      <c r="AM204" s="5"/>
      <c r="AN204" s="5"/>
    </row>
    <row r="205" spans="1:40" ht="12.75"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8"/>
      <c r="AE205" s="5"/>
      <c r="AF205" s="8"/>
      <c r="AG205" s="4"/>
      <c r="AH205" s="5"/>
      <c r="AI205" s="5"/>
      <c r="AJ205" s="5"/>
      <c r="AK205" s="5"/>
      <c r="AL205" s="5"/>
      <c r="AM205" s="5"/>
      <c r="AN205" s="5"/>
    </row>
    <row r="206" spans="1:40" ht="12.75"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8"/>
      <c r="AE206" s="5"/>
      <c r="AF206" s="8"/>
      <c r="AG206" s="4"/>
      <c r="AH206" s="5"/>
      <c r="AI206" s="5"/>
      <c r="AJ206" s="5"/>
      <c r="AK206" s="5"/>
      <c r="AL206" s="5"/>
      <c r="AM206" s="5"/>
      <c r="AN206" s="5"/>
    </row>
    <row r="207" spans="1:40" ht="12.75"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8"/>
      <c r="AE207" s="5"/>
      <c r="AF207" s="8"/>
      <c r="AG207" s="4"/>
      <c r="AH207" s="5"/>
      <c r="AI207" s="5"/>
      <c r="AJ207" s="5"/>
      <c r="AK207" s="5"/>
      <c r="AL207" s="5"/>
      <c r="AM207" s="5"/>
      <c r="AN207" s="5"/>
    </row>
    <row r="208" spans="1:40" ht="12.75"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8"/>
      <c r="AE208" s="5"/>
      <c r="AF208" s="8"/>
      <c r="AG208" s="4"/>
      <c r="AH208" s="5"/>
      <c r="AI208" s="5"/>
      <c r="AJ208" s="5"/>
      <c r="AK208" s="5"/>
      <c r="AL208" s="5"/>
      <c r="AM208" s="5"/>
      <c r="AN208" s="5"/>
    </row>
    <row r="209" spans="1:40" ht="12.75"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8"/>
      <c r="AE209" s="5"/>
      <c r="AF209" s="8"/>
      <c r="AG209" s="4"/>
      <c r="AH209" s="5"/>
      <c r="AI209" s="5"/>
      <c r="AJ209" s="5"/>
      <c r="AK209" s="5"/>
      <c r="AL209" s="5"/>
      <c r="AM209" s="5"/>
      <c r="AN209" s="5"/>
    </row>
    <row r="210" spans="1:40" ht="12.75"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8"/>
      <c r="AE210" s="5"/>
      <c r="AF210" s="8"/>
      <c r="AG210" s="4"/>
      <c r="AH210" s="5"/>
      <c r="AI210" s="5"/>
      <c r="AJ210" s="5"/>
      <c r="AK210" s="5"/>
      <c r="AL210" s="5"/>
      <c r="AM210" s="5"/>
      <c r="AN210" s="5"/>
    </row>
    <row r="211" spans="1:40" ht="12.75"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8"/>
      <c r="AE211" s="5"/>
      <c r="AF211" s="8"/>
      <c r="AG211" s="4"/>
      <c r="AH211" s="5"/>
      <c r="AI211" s="5"/>
      <c r="AJ211" s="5"/>
      <c r="AK211" s="5"/>
      <c r="AL211" s="5"/>
      <c r="AM211" s="5"/>
      <c r="AN211" s="5"/>
    </row>
    <row r="212" spans="1:40" ht="12.75"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8"/>
      <c r="AE212" s="5"/>
      <c r="AF212" s="8"/>
      <c r="AG212" s="4"/>
      <c r="AH212" s="5"/>
      <c r="AI212" s="5"/>
      <c r="AJ212" s="5"/>
      <c r="AK212" s="5"/>
      <c r="AL212" s="5"/>
      <c r="AM212" s="5"/>
      <c r="AN212" s="5"/>
    </row>
    <row r="213" spans="1:40" ht="12.75"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8"/>
      <c r="AE213" s="5"/>
      <c r="AF213" s="8"/>
      <c r="AG213" s="4"/>
      <c r="AH213" s="5"/>
      <c r="AI213" s="5"/>
      <c r="AJ213" s="5"/>
      <c r="AK213" s="5"/>
      <c r="AL213" s="5"/>
      <c r="AM213" s="5"/>
      <c r="AN213" s="5"/>
    </row>
    <row r="214" spans="1:40" ht="12.75"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8"/>
      <c r="AE214" s="5"/>
      <c r="AF214" s="8"/>
      <c r="AG214" s="4"/>
      <c r="AH214" s="5"/>
      <c r="AI214" s="5"/>
      <c r="AJ214" s="5"/>
      <c r="AK214" s="5"/>
      <c r="AL214" s="5"/>
      <c r="AM214" s="5"/>
      <c r="AN214" s="5"/>
    </row>
    <row r="215" spans="1:40" ht="12.75"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8"/>
      <c r="AE215" s="5"/>
      <c r="AF215" s="8"/>
      <c r="AG215" s="4"/>
      <c r="AH215" s="5"/>
      <c r="AI215" s="5"/>
      <c r="AJ215" s="5"/>
      <c r="AK215" s="5"/>
      <c r="AL215" s="5"/>
      <c r="AM215" s="5"/>
      <c r="AN215" s="5"/>
    </row>
    <row r="216" spans="1:40" ht="12.75"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8"/>
      <c r="AE216" s="5"/>
      <c r="AF216" s="8"/>
      <c r="AG216" s="4"/>
      <c r="AH216" s="5"/>
      <c r="AI216" s="5"/>
      <c r="AJ216" s="5"/>
      <c r="AK216" s="5"/>
      <c r="AL216" s="5"/>
      <c r="AM216" s="5"/>
      <c r="AN216" s="5"/>
    </row>
    <row r="217" spans="1:40" ht="12.75"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8"/>
      <c r="AE217" s="5"/>
      <c r="AF217" s="8"/>
      <c r="AG217" s="4"/>
      <c r="AH217" s="5"/>
      <c r="AI217" s="5"/>
      <c r="AJ217" s="5"/>
      <c r="AK217" s="5"/>
      <c r="AL217" s="5"/>
      <c r="AM217" s="5"/>
      <c r="AN217" s="5"/>
    </row>
    <row r="218" spans="1:40" ht="12.75"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8"/>
      <c r="AE218" s="5"/>
      <c r="AF218" s="8"/>
      <c r="AG218" s="4"/>
      <c r="AH218" s="5"/>
      <c r="AI218" s="5"/>
      <c r="AJ218" s="5"/>
      <c r="AK218" s="5"/>
      <c r="AL218" s="5"/>
      <c r="AM218" s="5"/>
      <c r="AN218" s="5"/>
    </row>
    <row r="219" spans="1:40" ht="12.75"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8"/>
      <c r="AE219" s="5"/>
      <c r="AF219" s="8"/>
      <c r="AG219" s="4"/>
      <c r="AH219" s="5"/>
      <c r="AI219" s="5"/>
      <c r="AJ219" s="5"/>
      <c r="AK219" s="5"/>
      <c r="AL219" s="5"/>
      <c r="AM219" s="5"/>
      <c r="AN219" s="5"/>
    </row>
    <row r="220" spans="1:40" ht="12.75"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8"/>
      <c r="AE220" s="5"/>
      <c r="AF220" s="8"/>
      <c r="AG220" s="4"/>
      <c r="AH220" s="5"/>
      <c r="AI220" s="5"/>
      <c r="AJ220" s="5"/>
      <c r="AK220" s="5"/>
      <c r="AL220" s="5"/>
      <c r="AM220" s="5"/>
      <c r="AN220" s="5"/>
    </row>
    <row r="221" spans="1:40" ht="12.75"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8"/>
      <c r="AE221" s="5"/>
      <c r="AF221" s="8"/>
      <c r="AG221" s="4"/>
      <c r="AH221" s="5"/>
      <c r="AI221" s="5"/>
      <c r="AJ221" s="5"/>
      <c r="AK221" s="5"/>
      <c r="AL221" s="5"/>
      <c r="AM221" s="5"/>
      <c r="AN221" s="5"/>
    </row>
    <row r="222" spans="1:40" ht="12.75"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8"/>
      <c r="AE222" s="5"/>
      <c r="AF222" s="8"/>
      <c r="AG222" s="4"/>
      <c r="AH222" s="5"/>
      <c r="AI222" s="5"/>
      <c r="AJ222" s="5"/>
      <c r="AK222" s="5"/>
      <c r="AL222" s="5"/>
      <c r="AM222" s="5"/>
      <c r="AN222" s="5"/>
    </row>
    <row r="223" spans="1:40" ht="12.75"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8"/>
      <c r="AE223" s="5"/>
      <c r="AF223" s="8"/>
      <c r="AG223" s="4"/>
      <c r="AH223" s="5"/>
      <c r="AI223" s="5"/>
      <c r="AJ223" s="5"/>
      <c r="AK223" s="5"/>
      <c r="AL223" s="5"/>
      <c r="AM223" s="5"/>
      <c r="AN223" s="5"/>
    </row>
    <row r="224" spans="1:40" ht="12.75"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8"/>
      <c r="AE224" s="5"/>
      <c r="AF224" s="8"/>
      <c r="AG224" s="4"/>
      <c r="AH224" s="5"/>
      <c r="AI224" s="5"/>
      <c r="AJ224" s="5"/>
      <c r="AK224" s="5"/>
      <c r="AL224" s="5"/>
      <c r="AM224" s="5"/>
      <c r="AN224" s="5"/>
    </row>
    <row r="225" spans="1:40" ht="12.75"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8"/>
      <c r="AE225" s="5"/>
      <c r="AF225" s="8"/>
      <c r="AG225" s="4"/>
      <c r="AH225" s="5"/>
      <c r="AI225" s="5"/>
      <c r="AJ225" s="5"/>
      <c r="AK225" s="5"/>
      <c r="AL225" s="5"/>
      <c r="AM225" s="5"/>
      <c r="AN225" s="5"/>
    </row>
    <row r="226" spans="1:40" ht="12.75"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8"/>
      <c r="AE226" s="5"/>
      <c r="AF226" s="8"/>
      <c r="AG226" s="4"/>
      <c r="AH226" s="5"/>
      <c r="AI226" s="5"/>
      <c r="AJ226" s="5"/>
      <c r="AK226" s="5"/>
      <c r="AL226" s="5"/>
      <c r="AM226" s="5"/>
      <c r="AN226" s="5"/>
    </row>
    <row r="227" spans="1:40" ht="12.75"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8"/>
      <c r="AE227" s="5"/>
      <c r="AF227" s="8"/>
      <c r="AG227" s="4"/>
      <c r="AH227" s="5"/>
      <c r="AI227" s="5"/>
      <c r="AJ227" s="5"/>
      <c r="AK227" s="5"/>
      <c r="AL227" s="5"/>
      <c r="AM227" s="5"/>
      <c r="AN227" s="5"/>
    </row>
    <row r="228" spans="1:40" ht="12.75"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8"/>
      <c r="AE228" s="5"/>
      <c r="AF228" s="8"/>
      <c r="AG228" s="4"/>
      <c r="AH228" s="5"/>
      <c r="AI228" s="5"/>
      <c r="AJ228" s="5"/>
      <c r="AK228" s="5"/>
      <c r="AL228" s="5"/>
      <c r="AM228" s="5"/>
      <c r="AN228" s="5"/>
    </row>
    <row r="229" spans="1:40" ht="12.75"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8"/>
      <c r="AE229" s="5"/>
      <c r="AF229" s="8"/>
      <c r="AG229" s="4"/>
      <c r="AH229" s="5"/>
      <c r="AI229" s="5"/>
      <c r="AJ229" s="5"/>
      <c r="AK229" s="5"/>
      <c r="AL229" s="5"/>
      <c r="AM229" s="5"/>
      <c r="AN229" s="5"/>
    </row>
    <row r="230" spans="1:40" ht="12.75"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8"/>
      <c r="AE230" s="5"/>
      <c r="AF230" s="8"/>
      <c r="AG230" s="4"/>
      <c r="AH230" s="5"/>
      <c r="AI230" s="5"/>
      <c r="AJ230" s="5"/>
      <c r="AK230" s="5"/>
      <c r="AL230" s="5"/>
      <c r="AM230" s="5"/>
      <c r="AN230" s="5"/>
    </row>
    <row r="231" spans="1:40" ht="12.75"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8"/>
      <c r="AE231" s="5"/>
      <c r="AF231" s="8"/>
      <c r="AG231" s="4"/>
      <c r="AH231" s="5"/>
      <c r="AI231" s="5"/>
      <c r="AJ231" s="5"/>
      <c r="AK231" s="5"/>
      <c r="AL231" s="5"/>
      <c r="AM231" s="5"/>
      <c r="AN231" s="5"/>
    </row>
    <row r="232" spans="1:40" ht="12.75"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8"/>
      <c r="AE232" s="5"/>
      <c r="AF232" s="8"/>
      <c r="AG232" s="4"/>
      <c r="AH232" s="5"/>
      <c r="AI232" s="5"/>
      <c r="AJ232" s="5"/>
      <c r="AK232" s="5"/>
      <c r="AL232" s="5"/>
      <c r="AM232" s="5"/>
      <c r="AN232" s="5"/>
    </row>
    <row r="233" spans="1:40" ht="12.75"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8"/>
      <c r="AE233" s="5"/>
      <c r="AF233" s="8"/>
      <c r="AG233" s="4"/>
      <c r="AH233" s="5"/>
      <c r="AI233" s="5"/>
      <c r="AJ233" s="5"/>
      <c r="AK233" s="5"/>
      <c r="AL233" s="5"/>
      <c r="AM233" s="5"/>
      <c r="AN233" s="5"/>
    </row>
    <row r="234" spans="1:40" ht="12.75"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8"/>
      <c r="AE234" s="5"/>
      <c r="AF234" s="8"/>
      <c r="AG234" s="4"/>
      <c r="AH234" s="5"/>
      <c r="AI234" s="5"/>
      <c r="AJ234" s="5"/>
      <c r="AK234" s="5"/>
      <c r="AL234" s="5"/>
      <c r="AM234" s="5"/>
      <c r="AN234" s="5"/>
    </row>
    <row r="235" spans="1:40" ht="12.75"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8"/>
      <c r="AE235" s="5"/>
      <c r="AF235" s="8"/>
      <c r="AG235" s="4"/>
      <c r="AH235" s="5"/>
      <c r="AI235" s="5"/>
      <c r="AJ235" s="5"/>
      <c r="AK235" s="5"/>
      <c r="AL235" s="5"/>
      <c r="AM235" s="5"/>
      <c r="AN235" s="5"/>
    </row>
    <row r="236" spans="1:40" ht="12.75"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8"/>
      <c r="AE236" s="5"/>
      <c r="AF236" s="8"/>
      <c r="AG236" s="4"/>
      <c r="AH236" s="5"/>
      <c r="AI236" s="5"/>
      <c r="AJ236" s="5"/>
      <c r="AK236" s="5"/>
      <c r="AL236" s="5"/>
      <c r="AM236" s="5"/>
      <c r="AN236" s="5"/>
    </row>
    <row r="237" spans="1:40" ht="12.75"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8"/>
      <c r="AE237" s="5"/>
      <c r="AF237" s="8"/>
      <c r="AG237" s="4"/>
      <c r="AH237" s="5"/>
      <c r="AI237" s="5"/>
      <c r="AJ237" s="5"/>
      <c r="AK237" s="5"/>
      <c r="AL237" s="5"/>
      <c r="AM237" s="5"/>
      <c r="AN237" s="5"/>
    </row>
    <row r="238" spans="1:40" ht="12.75"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8"/>
      <c r="AE238" s="5"/>
      <c r="AF238" s="8"/>
      <c r="AG238" s="4"/>
      <c r="AH238" s="5"/>
      <c r="AI238" s="5"/>
      <c r="AJ238" s="5"/>
      <c r="AK238" s="5"/>
      <c r="AL238" s="5"/>
      <c r="AM238" s="5"/>
      <c r="AN238" s="5"/>
    </row>
    <row r="239" spans="1:40" ht="12.75"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8"/>
      <c r="AE239" s="5"/>
      <c r="AF239" s="8"/>
      <c r="AG239" s="4"/>
      <c r="AH239" s="5"/>
      <c r="AI239" s="5"/>
      <c r="AJ239" s="5"/>
      <c r="AK239" s="5"/>
      <c r="AL239" s="5"/>
      <c r="AM239" s="5"/>
      <c r="AN239" s="5"/>
    </row>
    <row r="240" spans="1:40" ht="12.75"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8"/>
      <c r="AE240" s="5"/>
      <c r="AF240" s="8"/>
      <c r="AG240" s="4"/>
      <c r="AH240" s="5"/>
      <c r="AI240" s="5"/>
      <c r="AJ240" s="5"/>
      <c r="AK240" s="5"/>
      <c r="AL240" s="5"/>
      <c r="AM240" s="5"/>
      <c r="AN240" s="5"/>
    </row>
    <row r="241" spans="1:40" ht="12.75"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8"/>
      <c r="AE241" s="5"/>
      <c r="AF241" s="8"/>
      <c r="AG241" s="4"/>
      <c r="AH241" s="5"/>
      <c r="AI241" s="5"/>
      <c r="AJ241" s="5"/>
      <c r="AK241" s="5"/>
      <c r="AL241" s="5"/>
      <c r="AM241" s="5"/>
      <c r="AN241" s="5"/>
    </row>
    <row r="242" spans="1:40" ht="12.75"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8"/>
      <c r="AE242" s="5"/>
      <c r="AF242" s="8"/>
      <c r="AG242" s="4"/>
      <c r="AH242" s="5"/>
      <c r="AI242" s="5"/>
      <c r="AJ242" s="5"/>
      <c r="AK242" s="5"/>
      <c r="AL242" s="5"/>
      <c r="AM242" s="5"/>
      <c r="AN242" s="5"/>
    </row>
    <row r="243" spans="1:40" ht="12.75"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8"/>
      <c r="AE243" s="5"/>
      <c r="AF243" s="8"/>
      <c r="AG243" s="4"/>
      <c r="AH243" s="5"/>
      <c r="AI243" s="5"/>
      <c r="AJ243" s="5"/>
      <c r="AK243" s="5"/>
      <c r="AL243" s="5"/>
      <c r="AM243" s="5"/>
      <c r="AN243" s="5"/>
    </row>
    <row r="244" spans="1:40" ht="12.75"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8"/>
      <c r="AE244" s="5"/>
      <c r="AF244" s="8"/>
      <c r="AG244" s="4"/>
      <c r="AH244" s="5"/>
      <c r="AI244" s="5"/>
      <c r="AJ244" s="5"/>
      <c r="AK244" s="5"/>
      <c r="AL244" s="5"/>
      <c r="AM244" s="5"/>
      <c r="AN244" s="5"/>
    </row>
    <row r="245" spans="1:40" ht="12.75"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8"/>
      <c r="AE245" s="5"/>
      <c r="AF245" s="8"/>
      <c r="AG245" s="4"/>
      <c r="AH245" s="5"/>
      <c r="AI245" s="5"/>
      <c r="AJ245" s="5"/>
      <c r="AK245" s="5"/>
      <c r="AL245" s="5"/>
      <c r="AM245" s="5"/>
      <c r="AN245" s="5"/>
    </row>
    <row r="246" spans="1:40" ht="12.75"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8"/>
      <c r="AE246" s="5"/>
      <c r="AF246" s="8"/>
      <c r="AG246" s="4"/>
      <c r="AH246" s="5"/>
      <c r="AI246" s="5"/>
      <c r="AJ246" s="5"/>
      <c r="AK246" s="5"/>
      <c r="AL246" s="5"/>
      <c r="AM246" s="5"/>
      <c r="AN246" s="5"/>
    </row>
    <row r="247" spans="1:40" ht="12.75"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8"/>
      <c r="AE247" s="5"/>
      <c r="AF247" s="8"/>
      <c r="AG247" s="4"/>
      <c r="AH247" s="5"/>
      <c r="AI247" s="5"/>
      <c r="AJ247" s="5"/>
      <c r="AK247" s="5"/>
      <c r="AL247" s="5"/>
      <c r="AM247" s="5"/>
      <c r="AN247" s="5"/>
    </row>
    <row r="248" spans="1:40" ht="12.75"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8"/>
      <c r="AE248" s="5"/>
      <c r="AF248" s="8"/>
      <c r="AG248" s="4"/>
      <c r="AH248" s="5"/>
      <c r="AI248" s="5"/>
      <c r="AJ248" s="5"/>
      <c r="AK248" s="5"/>
      <c r="AL248" s="5"/>
      <c r="AM248" s="5"/>
      <c r="AN248" s="5"/>
    </row>
    <row r="249" spans="1:40" ht="12.75"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8"/>
      <c r="AE249" s="5"/>
      <c r="AF249" s="8"/>
      <c r="AG249" s="4"/>
      <c r="AH249" s="5"/>
      <c r="AI249" s="5"/>
      <c r="AJ249" s="5"/>
      <c r="AK249" s="5"/>
      <c r="AL249" s="5"/>
      <c r="AM249" s="5"/>
      <c r="AN249" s="5"/>
    </row>
    <row r="250" spans="1:40" ht="12.75"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8"/>
      <c r="AE250" s="5"/>
      <c r="AF250" s="8"/>
      <c r="AG250" s="4"/>
      <c r="AH250" s="5"/>
      <c r="AI250" s="5"/>
      <c r="AJ250" s="5"/>
      <c r="AK250" s="5"/>
      <c r="AL250" s="5"/>
      <c r="AM250" s="5"/>
      <c r="AN250" s="5"/>
    </row>
    <row r="251" spans="1:40" ht="12.75"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8"/>
      <c r="AE251" s="5"/>
      <c r="AF251" s="8"/>
      <c r="AG251" s="4"/>
      <c r="AH251" s="5"/>
      <c r="AI251" s="5"/>
      <c r="AJ251" s="5"/>
      <c r="AK251" s="5"/>
      <c r="AL251" s="5"/>
      <c r="AM251" s="5"/>
      <c r="AN251" s="5"/>
    </row>
    <row r="252" spans="1:40" ht="12.75"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8"/>
      <c r="AE252" s="5"/>
      <c r="AF252" s="8"/>
      <c r="AG252" s="4"/>
      <c r="AH252" s="5"/>
      <c r="AI252" s="5"/>
      <c r="AJ252" s="5"/>
      <c r="AK252" s="5"/>
      <c r="AL252" s="5"/>
      <c r="AM252" s="5"/>
      <c r="AN252" s="5"/>
    </row>
    <row r="253" spans="1:40" ht="12.75"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8"/>
      <c r="AE253" s="5"/>
      <c r="AF253" s="8"/>
      <c r="AG253" s="4"/>
      <c r="AH253" s="5"/>
      <c r="AI253" s="5"/>
      <c r="AJ253" s="5"/>
      <c r="AK253" s="5"/>
      <c r="AL253" s="5"/>
      <c r="AM253" s="5"/>
      <c r="AN253" s="5"/>
    </row>
    <row r="254" spans="1:40" ht="12.75"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8"/>
      <c r="AE254" s="5"/>
      <c r="AF254" s="8"/>
      <c r="AG254" s="4"/>
      <c r="AH254" s="5"/>
      <c r="AI254" s="5"/>
      <c r="AJ254" s="5"/>
      <c r="AK254" s="5"/>
      <c r="AL254" s="5"/>
      <c r="AM254" s="5"/>
      <c r="AN254" s="5"/>
    </row>
    <row r="255" spans="1:40" ht="12.75"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8"/>
      <c r="AE255" s="5"/>
      <c r="AF255" s="8"/>
      <c r="AG255" s="4"/>
      <c r="AH255" s="5"/>
      <c r="AI255" s="5"/>
      <c r="AJ255" s="5"/>
      <c r="AK255" s="5"/>
      <c r="AL255" s="5"/>
      <c r="AM255" s="5"/>
      <c r="AN255" s="5"/>
    </row>
    <row r="256" spans="1:40" ht="12.75"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8"/>
      <c r="AE256" s="5"/>
      <c r="AF256" s="8"/>
      <c r="AG256" s="4"/>
      <c r="AH256" s="5"/>
      <c r="AI256" s="5"/>
      <c r="AJ256" s="5"/>
      <c r="AK256" s="5"/>
      <c r="AL256" s="5"/>
      <c r="AM256" s="5"/>
      <c r="AN256" s="5"/>
    </row>
    <row r="257" spans="1:40" ht="12.75"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8"/>
      <c r="AE257" s="5"/>
      <c r="AF257" s="8"/>
      <c r="AG257" s="4"/>
      <c r="AH257" s="5"/>
      <c r="AI257" s="5"/>
      <c r="AJ257" s="5"/>
      <c r="AK257" s="5"/>
      <c r="AL257" s="5"/>
      <c r="AM257" s="5"/>
      <c r="AN257" s="5"/>
    </row>
    <row r="258" spans="1:40" ht="12.75"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8"/>
      <c r="AE258" s="5"/>
      <c r="AF258" s="8"/>
      <c r="AG258" s="4"/>
      <c r="AH258" s="5"/>
      <c r="AI258" s="5"/>
      <c r="AJ258" s="5"/>
      <c r="AK258" s="5"/>
      <c r="AL258" s="5"/>
      <c r="AM258" s="5"/>
      <c r="AN258" s="5"/>
    </row>
    <row r="259" spans="1:40" ht="12.75"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8"/>
      <c r="AE259" s="5"/>
      <c r="AF259" s="8"/>
      <c r="AG259" s="4"/>
      <c r="AH259" s="5"/>
      <c r="AI259" s="5"/>
      <c r="AJ259" s="5"/>
      <c r="AK259" s="5"/>
      <c r="AL259" s="5"/>
      <c r="AM259" s="5"/>
      <c r="AN259" s="5"/>
    </row>
    <row r="260" spans="1:40" ht="12.75"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8"/>
      <c r="AE260" s="5"/>
      <c r="AF260" s="8"/>
      <c r="AG260" s="4"/>
      <c r="AH260" s="5"/>
      <c r="AI260" s="5"/>
      <c r="AJ260" s="5"/>
      <c r="AK260" s="5"/>
      <c r="AL260" s="5"/>
      <c r="AM260" s="5"/>
      <c r="AN260" s="5"/>
    </row>
    <row r="261" spans="1:40" ht="12.75"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8"/>
      <c r="AE261" s="5"/>
      <c r="AF261" s="8"/>
      <c r="AG261" s="4"/>
      <c r="AH261" s="5"/>
      <c r="AI261" s="5"/>
      <c r="AJ261" s="5"/>
      <c r="AK261" s="5"/>
      <c r="AL261" s="5"/>
      <c r="AM261" s="5"/>
      <c r="AN261" s="5"/>
    </row>
    <row r="262" spans="1:40" ht="12.75"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8"/>
      <c r="AE262" s="5"/>
      <c r="AF262" s="8"/>
      <c r="AG262" s="4"/>
      <c r="AH262" s="5"/>
      <c r="AI262" s="5"/>
      <c r="AJ262" s="5"/>
      <c r="AK262" s="5"/>
      <c r="AL262" s="5"/>
      <c r="AM262" s="5"/>
      <c r="AN262" s="5"/>
    </row>
    <row r="263" spans="1:40" ht="12.75"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8"/>
      <c r="AE263" s="5"/>
      <c r="AF263" s="8"/>
      <c r="AG263" s="4"/>
      <c r="AH263" s="5"/>
      <c r="AI263" s="5"/>
      <c r="AJ263" s="5"/>
      <c r="AK263" s="5"/>
      <c r="AL263" s="5"/>
      <c r="AM263" s="5"/>
      <c r="AN263" s="5"/>
    </row>
    <row r="264" spans="1:40" ht="12.75"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8"/>
      <c r="AE264" s="5"/>
      <c r="AF264" s="8"/>
      <c r="AG264" s="4"/>
      <c r="AH264" s="5"/>
      <c r="AI264" s="5"/>
      <c r="AJ264" s="5"/>
      <c r="AK264" s="5"/>
      <c r="AL264" s="5"/>
      <c r="AM264" s="5"/>
      <c r="AN264" s="5"/>
    </row>
    <row r="265" spans="1:40" ht="12.75"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8"/>
      <c r="AE265" s="5"/>
      <c r="AF265" s="8"/>
      <c r="AG265" s="4"/>
      <c r="AH265" s="5"/>
      <c r="AI265" s="5"/>
      <c r="AJ265" s="5"/>
      <c r="AK265" s="5"/>
      <c r="AL265" s="5"/>
      <c r="AM265" s="5"/>
      <c r="AN265" s="5"/>
    </row>
    <row r="266" spans="1:40" ht="12.75"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8"/>
      <c r="AE266" s="5"/>
      <c r="AF266" s="8"/>
      <c r="AG266" s="4"/>
      <c r="AH266" s="5"/>
      <c r="AI266" s="5"/>
      <c r="AJ266" s="5"/>
      <c r="AK266" s="5"/>
      <c r="AL266" s="5"/>
      <c r="AM266" s="5"/>
      <c r="AN266" s="5"/>
    </row>
    <row r="267" spans="1:40" ht="12.75"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8"/>
      <c r="AE267" s="5"/>
      <c r="AF267" s="8"/>
      <c r="AG267" s="4"/>
      <c r="AH267" s="5"/>
      <c r="AI267" s="5"/>
      <c r="AJ267" s="5"/>
      <c r="AK267" s="5"/>
      <c r="AL267" s="5"/>
      <c r="AM267" s="5"/>
      <c r="AN267" s="5"/>
    </row>
    <row r="268" spans="1:40" ht="12.75"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8"/>
      <c r="AE268" s="5"/>
      <c r="AF268" s="8"/>
      <c r="AG268" s="4"/>
      <c r="AH268" s="5"/>
      <c r="AI268" s="5"/>
      <c r="AJ268" s="5"/>
      <c r="AK268" s="5"/>
      <c r="AL268" s="5"/>
      <c r="AM268" s="5"/>
      <c r="AN268" s="5"/>
    </row>
    <row r="269" spans="1:40" ht="12.75"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8"/>
      <c r="AE269" s="5"/>
      <c r="AF269" s="8"/>
      <c r="AG269" s="4"/>
      <c r="AH269" s="5"/>
      <c r="AI269" s="5"/>
      <c r="AJ269" s="5"/>
      <c r="AK269" s="5"/>
      <c r="AL269" s="5"/>
      <c r="AM269" s="5"/>
      <c r="AN269" s="5"/>
    </row>
    <row r="270" spans="1:40" ht="12.75"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8"/>
      <c r="AE270" s="5"/>
      <c r="AF270" s="8"/>
      <c r="AG270" s="4"/>
      <c r="AH270" s="5"/>
      <c r="AI270" s="5"/>
      <c r="AJ270" s="5"/>
      <c r="AK270" s="5"/>
      <c r="AL270" s="5"/>
      <c r="AM270" s="5"/>
      <c r="AN270" s="5"/>
    </row>
    <row r="271" spans="1:40" ht="12.75"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8"/>
      <c r="AE271" s="5"/>
      <c r="AF271" s="8"/>
      <c r="AG271" s="4"/>
      <c r="AH271" s="5"/>
      <c r="AI271" s="5"/>
      <c r="AJ271" s="5"/>
      <c r="AK271" s="5"/>
      <c r="AL271" s="5"/>
      <c r="AM271" s="5"/>
      <c r="AN271" s="5"/>
    </row>
    <row r="272" spans="1:40" ht="12.75"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8"/>
      <c r="AE272" s="5"/>
      <c r="AF272" s="8"/>
      <c r="AG272" s="4"/>
      <c r="AH272" s="5"/>
      <c r="AI272" s="5"/>
      <c r="AJ272" s="5"/>
      <c r="AK272" s="5"/>
      <c r="AL272" s="5"/>
      <c r="AM272" s="5"/>
      <c r="AN272" s="5"/>
    </row>
    <row r="273" spans="1:40" ht="12.75"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8"/>
      <c r="AE273" s="5"/>
      <c r="AF273" s="8"/>
      <c r="AG273" s="4"/>
      <c r="AH273" s="5"/>
      <c r="AI273" s="5"/>
      <c r="AJ273" s="5"/>
      <c r="AK273" s="5"/>
      <c r="AL273" s="5"/>
      <c r="AM273" s="5"/>
      <c r="AN273" s="5"/>
    </row>
    <row r="274" spans="1:40" ht="12.75"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8"/>
      <c r="AE274" s="5"/>
      <c r="AF274" s="8"/>
      <c r="AG274" s="4"/>
      <c r="AH274" s="5"/>
      <c r="AI274" s="5"/>
      <c r="AJ274" s="5"/>
      <c r="AK274" s="5"/>
      <c r="AL274" s="5"/>
      <c r="AM274" s="5"/>
      <c r="AN274" s="5"/>
    </row>
    <row r="275" spans="1:40" ht="12.75"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8"/>
      <c r="AE275" s="5"/>
      <c r="AF275" s="8"/>
      <c r="AG275" s="4"/>
      <c r="AH275" s="5"/>
      <c r="AI275" s="5"/>
      <c r="AJ275" s="5"/>
      <c r="AK275" s="5"/>
      <c r="AL275" s="5"/>
      <c r="AM275" s="5"/>
      <c r="AN275" s="5"/>
    </row>
    <row r="276" spans="1:40" ht="12.75"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8"/>
      <c r="AE276" s="5"/>
      <c r="AF276" s="8"/>
      <c r="AG276" s="4"/>
      <c r="AH276" s="5"/>
      <c r="AI276" s="5"/>
      <c r="AJ276" s="5"/>
      <c r="AK276" s="5"/>
      <c r="AL276" s="5"/>
      <c r="AM276" s="5"/>
      <c r="AN276" s="5"/>
    </row>
    <row r="277" spans="1:40" ht="12.75"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8"/>
      <c r="AE277" s="5"/>
      <c r="AF277" s="8"/>
      <c r="AG277" s="4"/>
      <c r="AH277" s="5"/>
      <c r="AI277" s="5"/>
      <c r="AJ277" s="5"/>
      <c r="AK277" s="5"/>
      <c r="AL277" s="5"/>
      <c r="AM277" s="5"/>
      <c r="AN277" s="5"/>
    </row>
    <row r="278" spans="1:40" ht="12.75"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8"/>
      <c r="AE278" s="5"/>
      <c r="AF278" s="8"/>
      <c r="AG278" s="4"/>
      <c r="AH278" s="5"/>
      <c r="AI278" s="5"/>
      <c r="AJ278" s="5"/>
      <c r="AK278" s="5"/>
      <c r="AL278" s="5"/>
      <c r="AM278" s="5"/>
      <c r="AN278" s="5"/>
    </row>
    <row r="279" spans="1:40" ht="12.75"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8"/>
      <c r="AE279" s="5"/>
      <c r="AF279" s="8"/>
      <c r="AG279" s="4"/>
      <c r="AH279" s="5"/>
      <c r="AI279" s="5"/>
      <c r="AJ279" s="5"/>
      <c r="AK279" s="5"/>
      <c r="AL279" s="5"/>
      <c r="AM279" s="5"/>
      <c r="AN279" s="5"/>
    </row>
    <row r="280" spans="1:40" ht="12.75"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8"/>
      <c r="AE280" s="5"/>
      <c r="AF280" s="8"/>
      <c r="AG280" s="4"/>
      <c r="AH280" s="5"/>
      <c r="AI280" s="5"/>
      <c r="AJ280" s="5"/>
      <c r="AK280" s="5"/>
      <c r="AL280" s="5"/>
      <c r="AM280" s="5"/>
      <c r="AN280" s="5"/>
    </row>
    <row r="281" spans="1:40" ht="12.75"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8"/>
      <c r="AE281" s="5"/>
      <c r="AF281" s="8"/>
      <c r="AG281" s="4"/>
      <c r="AH281" s="5"/>
      <c r="AI281" s="5"/>
      <c r="AJ281" s="5"/>
      <c r="AK281" s="5"/>
      <c r="AL281" s="5"/>
      <c r="AM281" s="5"/>
      <c r="AN281" s="5"/>
    </row>
    <row r="282" spans="1:40" ht="12.75"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8"/>
      <c r="AE282" s="5"/>
      <c r="AF282" s="8"/>
      <c r="AG282" s="4"/>
      <c r="AH282" s="5"/>
      <c r="AI282" s="5"/>
      <c r="AJ282" s="5"/>
      <c r="AK282" s="5"/>
      <c r="AL282" s="5"/>
      <c r="AM282" s="5"/>
      <c r="AN282" s="5"/>
    </row>
    <row r="283" spans="1:40" ht="12.75"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8"/>
      <c r="AE283" s="5"/>
      <c r="AF283" s="8"/>
      <c r="AG283" s="4"/>
      <c r="AH283" s="5"/>
      <c r="AI283" s="5"/>
      <c r="AJ283" s="5"/>
      <c r="AK283" s="5"/>
      <c r="AL283" s="5"/>
      <c r="AM283" s="5"/>
      <c r="AN283" s="5"/>
    </row>
    <row r="284" spans="1:40" ht="12.75"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8"/>
      <c r="AE284" s="5"/>
      <c r="AF284" s="8"/>
      <c r="AG284" s="4"/>
      <c r="AH284" s="5"/>
      <c r="AI284" s="5"/>
      <c r="AJ284" s="5"/>
      <c r="AK284" s="5"/>
      <c r="AL284" s="5"/>
      <c r="AM284" s="5"/>
      <c r="AN284" s="5"/>
    </row>
    <row r="285" spans="1:40" ht="12.75"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8"/>
      <c r="AE285" s="5"/>
      <c r="AF285" s="8"/>
      <c r="AG285" s="4"/>
      <c r="AH285" s="5"/>
      <c r="AI285" s="5"/>
      <c r="AJ285" s="5"/>
      <c r="AK285" s="5"/>
      <c r="AL285" s="5"/>
      <c r="AM285" s="5"/>
      <c r="AN285" s="5"/>
    </row>
    <row r="286" spans="1:40" ht="12.75"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8"/>
      <c r="AE286" s="5"/>
      <c r="AF286" s="8"/>
      <c r="AG286" s="4"/>
      <c r="AH286" s="5"/>
      <c r="AI286" s="5"/>
      <c r="AJ286" s="5"/>
      <c r="AK286" s="5"/>
      <c r="AL286" s="5"/>
      <c r="AM286" s="5"/>
      <c r="AN286" s="5"/>
    </row>
    <row r="287" spans="1:40" ht="12.75"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8"/>
      <c r="AE287" s="5"/>
      <c r="AF287" s="8"/>
      <c r="AG287" s="4"/>
      <c r="AH287" s="5"/>
      <c r="AI287" s="5"/>
      <c r="AJ287" s="5"/>
      <c r="AK287" s="5"/>
      <c r="AL287" s="5"/>
      <c r="AM287" s="5"/>
      <c r="AN287" s="5"/>
    </row>
    <row r="288" spans="1:40" ht="12.75"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8"/>
      <c r="AE288" s="5"/>
      <c r="AF288" s="8"/>
      <c r="AG288" s="4"/>
      <c r="AH288" s="5"/>
      <c r="AI288" s="5"/>
      <c r="AJ288" s="5"/>
      <c r="AK288" s="5"/>
      <c r="AL288" s="5"/>
      <c r="AM288" s="5"/>
      <c r="AN288" s="5"/>
    </row>
    <row r="289" spans="1:40" ht="12.75"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8"/>
      <c r="AE289" s="5"/>
      <c r="AF289" s="8"/>
      <c r="AG289" s="4"/>
      <c r="AH289" s="5"/>
      <c r="AI289" s="5"/>
      <c r="AJ289" s="5"/>
      <c r="AK289" s="5"/>
      <c r="AL289" s="5"/>
      <c r="AM289" s="5"/>
      <c r="AN289" s="5"/>
    </row>
    <row r="290" spans="1:40" ht="12.75"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8"/>
      <c r="AE290" s="5"/>
      <c r="AF290" s="8"/>
      <c r="AG290" s="4"/>
      <c r="AH290" s="5"/>
      <c r="AI290" s="5"/>
      <c r="AJ290" s="5"/>
      <c r="AK290" s="5"/>
      <c r="AL290" s="5"/>
      <c r="AM290" s="5"/>
      <c r="AN290" s="5"/>
    </row>
    <row r="291" spans="1:40" ht="12.75"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8"/>
      <c r="AE291" s="5"/>
      <c r="AF291" s="8"/>
      <c r="AG291" s="4"/>
      <c r="AH291" s="5"/>
      <c r="AI291" s="5"/>
      <c r="AJ291" s="5"/>
      <c r="AK291" s="5"/>
      <c r="AL291" s="5"/>
      <c r="AM291" s="5"/>
      <c r="AN291" s="5"/>
    </row>
    <row r="292" spans="1:40" ht="12.75"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8"/>
      <c r="AE292" s="5"/>
      <c r="AF292" s="8"/>
      <c r="AG292" s="4"/>
      <c r="AH292" s="5"/>
      <c r="AI292" s="5"/>
      <c r="AJ292" s="5"/>
      <c r="AK292" s="5"/>
      <c r="AL292" s="5"/>
      <c r="AM292" s="5"/>
      <c r="AN292" s="5"/>
    </row>
    <row r="293" spans="1:40" ht="12.75"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8"/>
      <c r="AE293" s="5"/>
      <c r="AF293" s="8"/>
      <c r="AG293" s="4"/>
      <c r="AH293" s="5"/>
      <c r="AI293" s="5"/>
      <c r="AJ293" s="5"/>
      <c r="AK293" s="5"/>
      <c r="AL293" s="5"/>
      <c r="AM293" s="5"/>
      <c r="AN293" s="5"/>
    </row>
    <row r="294" spans="1:40" ht="12.75"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8"/>
      <c r="AE294" s="5"/>
      <c r="AF294" s="8"/>
      <c r="AG294" s="4"/>
      <c r="AH294" s="5"/>
      <c r="AI294" s="5"/>
      <c r="AJ294" s="5"/>
      <c r="AK294" s="5"/>
      <c r="AL294" s="5"/>
      <c r="AM294" s="5"/>
      <c r="AN294" s="5"/>
    </row>
    <row r="295" spans="1:40" ht="12.75"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8"/>
      <c r="AE295" s="5"/>
      <c r="AF295" s="8"/>
      <c r="AG295" s="4"/>
      <c r="AH295" s="5"/>
      <c r="AI295" s="5"/>
      <c r="AJ295" s="5"/>
      <c r="AK295" s="5"/>
      <c r="AL295" s="5"/>
      <c r="AM295" s="5"/>
      <c r="AN295" s="5"/>
    </row>
    <row r="296" spans="1:40" ht="12.75"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8"/>
      <c r="AE296" s="5"/>
      <c r="AF296" s="8"/>
      <c r="AG296" s="4"/>
      <c r="AH296" s="5"/>
      <c r="AI296" s="5"/>
      <c r="AJ296" s="5"/>
      <c r="AK296" s="5"/>
      <c r="AL296" s="5"/>
      <c r="AM296" s="5"/>
      <c r="AN296" s="5"/>
    </row>
    <row r="297" spans="1:40" ht="12.75"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8"/>
      <c r="AE297" s="5"/>
      <c r="AF297" s="8"/>
      <c r="AG297" s="4"/>
      <c r="AH297" s="5"/>
      <c r="AI297" s="5"/>
      <c r="AJ297" s="5"/>
      <c r="AK297" s="5"/>
      <c r="AL297" s="5"/>
      <c r="AM297" s="5"/>
      <c r="AN297" s="5"/>
    </row>
    <row r="298" spans="1:40" ht="12.75"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8"/>
      <c r="AE298" s="5"/>
      <c r="AF298" s="8"/>
      <c r="AG298" s="4"/>
      <c r="AH298" s="5"/>
      <c r="AI298" s="5"/>
      <c r="AJ298" s="5"/>
      <c r="AK298" s="5"/>
      <c r="AL298" s="5"/>
      <c r="AM298" s="5"/>
      <c r="AN298" s="5"/>
    </row>
    <row r="299" spans="1:40" ht="12.75"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8"/>
      <c r="AE299" s="5"/>
      <c r="AF299" s="8"/>
      <c r="AG299" s="4"/>
      <c r="AH299" s="5"/>
      <c r="AI299" s="5"/>
      <c r="AJ299" s="5"/>
      <c r="AK299" s="5"/>
      <c r="AL299" s="5"/>
      <c r="AM299" s="5"/>
      <c r="AN299" s="5"/>
    </row>
    <row r="300" spans="1:40" ht="12.75"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8"/>
      <c r="AE300" s="5"/>
      <c r="AF300" s="8"/>
      <c r="AG300" s="4"/>
      <c r="AH300" s="5"/>
      <c r="AI300" s="5"/>
      <c r="AJ300" s="5"/>
      <c r="AK300" s="5"/>
      <c r="AL300" s="5"/>
      <c r="AM300" s="5"/>
      <c r="AN300" s="5"/>
    </row>
    <row r="301" spans="1:40" ht="12.75"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8"/>
      <c r="AE301" s="5"/>
      <c r="AF301" s="8"/>
      <c r="AG301" s="4"/>
      <c r="AH301" s="5"/>
      <c r="AI301" s="5"/>
      <c r="AJ301" s="5"/>
      <c r="AK301" s="5"/>
      <c r="AL301" s="5"/>
      <c r="AM301" s="5"/>
      <c r="AN301" s="5"/>
    </row>
    <row r="302" spans="1:40" ht="12.75"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8"/>
      <c r="AE302" s="5"/>
      <c r="AF302" s="8"/>
      <c r="AG302" s="4"/>
      <c r="AH302" s="5"/>
      <c r="AI302" s="5"/>
      <c r="AJ302" s="5"/>
      <c r="AK302" s="5"/>
      <c r="AL302" s="5"/>
      <c r="AM302" s="5"/>
      <c r="AN302" s="5"/>
    </row>
    <row r="303" spans="1:40" ht="12.75"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8"/>
      <c r="AE303" s="5"/>
      <c r="AF303" s="8"/>
      <c r="AG303" s="4"/>
      <c r="AH303" s="5"/>
      <c r="AI303" s="5"/>
      <c r="AJ303" s="5"/>
      <c r="AK303" s="5"/>
      <c r="AL303" s="5"/>
      <c r="AM303" s="5"/>
      <c r="AN303" s="5"/>
    </row>
    <row r="304" spans="1:40" ht="12.75"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8"/>
      <c r="AE304" s="5"/>
      <c r="AF304" s="8"/>
      <c r="AG304" s="4"/>
      <c r="AH304" s="5"/>
      <c r="AI304" s="5"/>
      <c r="AJ304" s="5"/>
      <c r="AK304" s="5"/>
      <c r="AL304" s="5"/>
      <c r="AM304" s="5"/>
      <c r="AN304" s="5"/>
    </row>
    <row r="305" spans="1:40" ht="12.75"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8"/>
      <c r="AE305" s="5"/>
      <c r="AF305" s="8"/>
      <c r="AG305" s="4"/>
      <c r="AH305" s="5"/>
      <c r="AI305" s="5"/>
      <c r="AJ305" s="5"/>
      <c r="AK305" s="5"/>
      <c r="AL305" s="5"/>
      <c r="AM305" s="5"/>
      <c r="AN305" s="5"/>
    </row>
    <row r="306" spans="1:40" ht="12.75"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8"/>
      <c r="AE306" s="5"/>
      <c r="AF306" s="8"/>
      <c r="AG306" s="4"/>
      <c r="AH306" s="5"/>
      <c r="AI306" s="5"/>
      <c r="AJ306" s="5"/>
      <c r="AK306" s="5"/>
      <c r="AL306" s="5"/>
      <c r="AM306" s="5"/>
      <c r="AN306" s="5"/>
    </row>
    <row r="307" spans="1:40" ht="12.75"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8"/>
      <c r="AE307" s="5"/>
      <c r="AF307" s="8"/>
      <c r="AG307" s="4"/>
      <c r="AH307" s="5"/>
      <c r="AI307" s="5"/>
      <c r="AJ307" s="5"/>
      <c r="AK307" s="5"/>
      <c r="AL307" s="5"/>
      <c r="AM307" s="5"/>
      <c r="AN307" s="5"/>
    </row>
    <row r="308" spans="1:40" ht="12.75"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8"/>
      <c r="AE308" s="5"/>
      <c r="AF308" s="8"/>
      <c r="AG308" s="4"/>
      <c r="AH308" s="5"/>
      <c r="AI308" s="5"/>
      <c r="AJ308" s="5"/>
      <c r="AK308" s="5"/>
      <c r="AL308" s="5"/>
      <c r="AM308" s="5"/>
      <c r="AN308" s="5"/>
    </row>
    <row r="309" spans="1:40" ht="12.75"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8"/>
      <c r="AE309" s="5"/>
      <c r="AF309" s="8"/>
      <c r="AG309" s="4"/>
      <c r="AH309" s="5"/>
      <c r="AI309" s="5"/>
      <c r="AJ309" s="5"/>
      <c r="AK309" s="5"/>
      <c r="AL309" s="5"/>
      <c r="AM309" s="5"/>
      <c r="AN309" s="5"/>
    </row>
    <row r="310" spans="1:40" ht="12.75"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8"/>
      <c r="AE310" s="5"/>
      <c r="AF310" s="8"/>
      <c r="AG310" s="4"/>
      <c r="AH310" s="5"/>
      <c r="AI310" s="5"/>
      <c r="AJ310" s="5"/>
      <c r="AK310" s="5"/>
      <c r="AL310" s="5"/>
      <c r="AM310" s="5"/>
      <c r="AN310" s="5"/>
    </row>
    <row r="311" spans="1:40" ht="12.75"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8"/>
      <c r="AE311" s="5"/>
      <c r="AF311" s="8"/>
      <c r="AG311" s="4"/>
      <c r="AH311" s="5"/>
      <c r="AI311" s="5"/>
      <c r="AJ311" s="5"/>
      <c r="AK311" s="5"/>
      <c r="AL311" s="5"/>
      <c r="AM311" s="5"/>
      <c r="AN311" s="5"/>
    </row>
    <row r="312" spans="1:40" ht="12.75"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8"/>
      <c r="AE312" s="5"/>
      <c r="AF312" s="8"/>
      <c r="AG312" s="4"/>
      <c r="AH312" s="5"/>
      <c r="AI312" s="5"/>
      <c r="AJ312" s="5"/>
      <c r="AK312" s="5"/>
      <c r="AL312" s="5"/>
      <c r="AM312" s="5"/>
      <c r="AN312" s="5"/>
    </row>
    <row r="313" spans="1:40" ht="12.75"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8"/>
      <c r="AE313" s="5"/>
      <c r="AF313" s="8"/>
      <c r="AG313" s="4"/>
      <c r="AH313" s="5"/>
      <c r="AI313" s="5"/>
      <c r="AJ313" s="5"/>
      <c r="AK313" s="5"/>
      <c r="AL313" s="5"/>
      <c r="AM313" s="5"/>
      <c r="AN313" s="5"/>
    </row>
    <row r="314" spans="1:40" ht="12.75"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8"/>
      <c r="AE314" s="5"/>
      <c r="AF314" s="8"/>
      <c r="AG314" s="4"/>
      <c r="AH314" s="5"/>
      <c r="AI314" s="5"/>
      <c r="AJ314" s="5"/>
      <c r="AK314" s="5"/>
      <c r="AL314" s="5"/>
      <c r="AM314" s="5"/>
      <c r="AN314" s="5"/>
    </row>
    <row r="315" spans="1:40" ht="12.75"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8"/>
      <c r="AE315" s="5"/>
      <c r="AF315" s="8"/>
      <c r="AG315" s="4"/>
      <c r="AH315" s="5"/>
      <c r="AI315" s="5"/>
      <c r="AJ315" s="5"/>
      <c r="AK315" s="5"/>
      <c r="AL315" s="5"/>
      <c r="AM315" s="5"/>
      <c r="AN315" s="5"/>
    </row>
    <row r="316" spans="1:40" ht="12.75"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8"/>
      <c r="AE316" s="5"/>
      <c r="AF316" s="8"/>
      <c r="AG316" s="4"/>
      <c r="AH316" s="5"/>
      <c r="AI316" s="5"/>
      <c r="AJ316" s="5"/>
      <c r="AK316" s="5"/>
      <c r="AL316" s="5"/>
      <c r="AM316" s="5"/>
      <c r="AN316" s="5"/>
    </row>
    <row r="317" spans="1:40" ht="12.75"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8"/>
      <c r="AE317" s="5"/>
      <c r="AF317" s="8"/>
      <c r="AG317" s="4"/>
      <c r="AH317" s="5"/>
      <c r="AI317" s="5"/>
      <c r="AJ317" s="5"/>
      <c r="AK317" s="5"/>
      <c r="AL317" s="5"/>
      <c r="AM317" s="5"/>
      <c r="AN317" s="5"/>
    </row>
    <row r="318" spans="1:40" ht="12.75"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8"/>
      <c r="AE318" s="5"/>
      <c r="AF318" s="8"/>
      <c r="AG318" s="4"/>
      <c r="AH318" s="5"/>
      <c r="AI318" s="5"/>
      <c r="AJ318" s="5"/>
      <c r="AK318" s="5"/>
      <c r="AL318" s="5"/>
      <c r="AM318" s="5"/>
      <c r="AN318" s="5"/>
    </row>
    <row r="319" spans="1:40" ht="12.75"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8"/>
      <c r="AE319" s="5"/>
      <c r="AF319" s="8"/>
      <c r="AG319" s="4"/>
      <c r="AH319" s="5"/>
      <c r="AI319" s="5"/>
      <c r="AJ319" s="5"/>
      <c r="AK319" s="5"/>
      <c r="AL319" s="5"/>
      <c r="AM319" s="5"/>
      <c r="AN319" s="5"/>
    </row>
    <row r="320" spans="1:40" ht="12.75"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8"/>
      <c r="AE320" s="5"/>
      <c r="AF320" s="8"/>
      <c r="AG320" s="4"/>
      <c r="AH320" s="5"/>
      <c r="AI320" s="5"/>
      <c r="AJ320" s="5"/>
      <c r="AK320" s="5"/>
      <c r="AL320" s="5"/>
      <c r="AM320" s="5"/>
      <c r="AN320" s="5"/>
    </row>
    <row r="321" spans="1:40" ht="12.75"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8"/>
      <c r="AE321" s="5"/>
      <c r="AF321" s="8"/>
      <c r="AG321" s="4"/>
      <c r="AH321" s="5"/>
      <c r="AI321" s="5"/>
      <c r="AJ321" s="5"/>
      <c r="AK321" s="5"/>
      <c r="AL321" s="5"/>
      <c r="AM321" s="5"/>
      <c r="AN321" s="5"/>
    </row>
    <row r="322" spans="1:40" ht="12.75"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8"/>
      <c r="AE322" s="5"/>
      <c r="AF322" s="8"/>
      <c r="AG322" s="4"/>
      <c r="AH322" s="5"/>
      <c r="AI322" s="5"/>
      <c r="AJ322" s="5"/>
      <c r="AK322" s="5"/>
      <c r="AL322" s="5"/>
      <c r="AM322" s="5"/>
      <c r="AN322" s="5"/>
    </row>
    <row r="323" spans="1:40" ht="12.75"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8"/>
      <c r="AE323" s="5"/>
      <c r="AF323" s="8"/>
      <c r="AG323" s="4"/>
      <c r="AH323" s="5"/>
      <c r="AI323" s="5"/>
      <c r="AJ323" s="5"/>
      <c r="AK323" s="5"/>
      <c r="AL323" s="5"/>
      <c r="AM323" s="5"/>
      <c r="AN323" s="5"/>
    </row>
    <row r="324" spans="1:40" ht="12.75"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8"/>
      <c r="AE324" s="5"/>
      <c r="AF324" s="8"/>
      <c r="AG324" s="4"/>
      <c r="AH324" s="5"/>
      <c r="AI324" s="5"/>
      <c r="AJ324" s="5"/>
      <c r="AK324" s="5"/>
      <c r="AL324" s="5"/>
      <c r="AM324" s="5"/>
      <c r="AN324" s="5"/>
    </row>
    <row r="325" spans="1:40" ht="12.75"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8"/>
      <c r="AE325" s="5"/>
      <c r="AF325" s="8"/>
      <c r="AG325" s="4"/>
      <c r="AH325" s="5"/>
      <c r="AI325" s="5"/>
      <c r="AJ325" s="5"/>
      <c r="AK325" s="5"/>
      <c r="AL325" s="5"/>
      <c r="AM325" s="5"/>
      <c r="AN325" s="5"/>
    </row>
    <row r="326" spans="1:40" ht="12.75"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8"/>
      <c r="AE326" s="5"/>
      <c r="AF326" s="8"/>
      <c r="AG326" s="4"/>
      <c r="AH326" s="5"/>
      <c r="AI326" s="5"/>
      <c r="AJ326" s="5"/>
      <c r="AK326" s="5"/>
      <c r="AL326" s="5"/>
      <c r="AM326" s="5"/>
      <c r="AN326" s="5"/>
    </row>
    <row r="327" spans="1:40" ht="12.75"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8"/>
      <c r="AE327" s="5"/>
      <c r="AF327" s="8"/>
      <c r="AG327" s="4"/>
      <c r="AH327" s="5"/>
      <c r="AI327" s="5"/>
      <c r="AJ327" s="5"/>
      <c r="AK327" s="5"/>
      <c r="AL327" s="5"/>
      <c r="AM327" s="5"/>
      <c r="AN327" s="5"/>
    </row>
    <row r="328" spans="1:40" ht="12.75"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8"/>
      <c r="AE328" s="5"/>
      <c r="AF328" s="8"/>
      <c r="AG328" s="4"/>
      <c r="AH328" s="5"/>
      <c r="AI328" s="5"/>
      <c r="AJ328" s="5"/>
      <c r="AK328" s="5"/>
      <c r="AL328" s="5"/>
      <c r="AM328" s="5"/>
      <c r="AN328" s="5"/>
    </row>
    <row r="329" spans="1:40" ht="12.75"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8"/>
      <c r="AE329" s="5"/>
      <c r="AF329" s="8"/>
      <c r="AG329" s="4"/>
      <c r="AH329" s="5"/>
      <c r="AI329" s="5"/>
      <c r="AJ329" s="5"/>
      <c r="AK329" s="5"/>
      <c r="AL329" s="5"/>
      <c r="AM329" s="5"/>
      <c r="AN329" s="5"/>
    </row>
    <row r="330" spans="1:40" ht="12.75"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8"/>
      <c r="AE330" s="5"/>
      <c r="AF330" s="8"/>
      <c r="AG330" s="4"/>
      <c r="AH330" s="5"/>
      <c r="AI330" s="5"/>
      <c r="AJ330" s="5"/>
      <c r="AK330" s="5"/>
      <c r="AL330" s="5"/>
      <c r="AM330" s="5"/>
      <c r="AN330" s="5"/>
    </row>
    <row r="331" spans="1:40" ht="12.75"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8"/>
      <c r="AE331" s="5"/>
      <c r="AF331" s="8"/>
      <c r="AG331" s="4"/>
      <c r="AH331" s="5"/>
      <c r="AI331" s="5"/>
      <c r="AJ331" s="5"/>
      <c r="AK331" s="5"/>
      <c r="AL331" s="5"/>
      <c r="AM331" s="5"/>
      <c r="AN331" s="5"/>
    </row>
    <row r="332" spans="1:40" ht="12.75"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8"/>
      <c r="AE332" s="5"/>
      <c r="AF332" s="8"/>
      <c r="AG332" s="4"/>
      <c r="AH332" s="5"/>
      <c r="AI332" s="5"/>
      <c r="AJ332" s="5"/>
      <c r="AK332" s="5"/>
      <c r="AL332" s="5"/>
      <c r="AM332" s="5"/>
      <c r="AN332" s="5"/>
    </row>
    <row r="333" spans="1:40" ht="12.75"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8"/>
      <c r="AE333" s="5"/>
      <c r="AF333" s="8"/>
      <c r="AG333" s="4"/>
      <c r="AH333" s="5"/>
      <c r="AI333" s="5"/>
      <c r="AJ333" s="5"/>
      <c r="AK333" s="5"/>
      <c r="AL333" s="5"/>
      <c r="AM333" s="5"/>
      <c r="AN333" s="5"/>
    </row>
    <row r="334" spans="1:40" ht="12.75"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8"/>
      <c r="AE334" s="5"/>
      <c r="AF334" s="8"/>
      <c r="AG334" s="4"/>
      <c r="AH334" s="5"/>
      <c r="AI334" s="5"/>
      <c r="AJ334" s="5"/>
      <c r="AK334" s="5"/>
      <c r="AL334" s="5"/>
      <c r="AM334" s="5"/>
      <c r="AN334" s="5"/>
    </row>
    <row r="335" spans="1:40" ht="12.75"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8"/>
      <c r="AE335" s="5"/>
      <c r="AF335" s="8"/>
      <c r="AG335" s="4"/>
      <c r="AH335" s="5"/>
      <c r="AI335" s="5"/>
      <c r="AJ335" s="5"/>
      <c r="AK335" s="5"/>
      <c r="AL335" s="5"/>
      <c r="AM335" s="5"/>
      <c r="AN335" s="5"/>
    </row>
    <row r="336" spans="1:40" ht="12.75"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8"/>
      <c r="AE336" s="5"/>
      <c r="AF336" s="8"/>
      <c r="AG336" s="4"/>
      <c r="AH336" s="5"/>
      <c r="AI336" s="5"/>
      <c r="AJ336" s="5"/>
      <c r="AK336" s="5"/>
      <c r="AL336" s="5"/>
      <c r="AM336" s="5"/>
      <c r="AN336" s="5"/>
    </row>
    <row r="337" spans="1:40" ht="12.75"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8"/>
      <c r="AE337" s="5"/>
      <c r="AF337" s="8"/>
      <c r="AG337" s="4"/>
      <c r="AH337" s="5"/>
      <c r="AI337" s="5"/>
      <c r="AJ337" s="5"/>
      <c r="AK337" s="5"/>
      <c r="AL337" s="5"/>
      <c r="AM337" s="5"/>
      <c r="AN337" s="5"/>
    </row>
    <row r="338" spans="1:40" ht="12.75"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8"/>
      <c r="AE338" s="5"/>
      <c r="AF338" s="8"/>
      <c r="AG338" s="4"/>
      <c r="AH338" s="5"/>
      <c r="AI338" s="5"/>
      <c r="AJ338" s="5"/>
      <c r="AK338" s="5"/>
      <c r="AL338" s="5"/>
      <c r="AM338" s="5"/>
      <c r="AN338" s="5"/>
    </row>
    <row r="339" spans="1:40" ht="12.75"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8"/>
      <c r="AE339" s="5"/>
      <c r="AF339" s="8"/>
      <c r="AG339" s="4"/>
      <c r="AH339" s="5"/>
      <c r="AI339" s="5"/>
      <c r="AJ339" s="5"/>
      <c r="AK339" s="5"/>
      <c r="AL339" s="5"/>
      <c r="AM339" s="5"/>
      <c r="AN339" s="5"/>
    </row>
    <row r="340" spans="1:40" ht="12.75"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8"/>
      <c r="AE340" s="5"/>
      <c r="AF340" s="8"/>
      <c r="AG340" s="4"/>
      <c r="AH340" s="5"/>
      <c r="AI340" s="5"/>
      <c r="AJ340" s="5"/>
      <c r="AK340" s="5"/>
      <c r="AL340" s="5"/>
      <c r="AM340" s="5"/>
      <c r="AN340" s="5"/>
    </row>
    <row r="341" spans="1:40" ht="12.75"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8"/>
      <c r="AE341" s="5"/>
      <c r="AF341" s="8"/>
      <c r="AG341" s="4"/>
      <c r="AH341" s="5"/>
      <c r="AI341" s="5"/>
      <c r="AJ341" s="5"/>
      <c r="AK341" s="5"/>
      <c r="AL341" s="5"/>
      <c r="AM341" s="5"/>
      <c r="AN341" s="5"/>
    </row>
    <row r="342" spans="1:40" ht="12.75"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8"/>
      <c r="AE342" s="5"/>
      <c r="AF342" s="8"/>
      <c r="AG342" s="4"/>
      <c r="AH342" s="5"/>
      <c r="AI342" s="5"/>
      <c r="AJ342" s="5"/>
      <c r="AK342" s="5"/>
      <c r="AL342" s="5"/>
      <c r="AM342" s="5"/>
      <c r="AN342" s="5"/>
    </row>
    <row r="343" spans="1:40" ht="12.75"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8"/>
      <c r="AE343" s="5"/>
      <c r="AF343" s="8"/>
      <c r="AG343" s="4"/>
      <c r="AH343" s="5"/>
      <c r="AI343" s="5"/>
      <c r="AJ343" s="5"/>
      <c r="AK343" s="5"/>
      <c r="AL343" s="5"/>
      <c r="AM343" s="5"/>
      <c r="AN343" s="5"/>
    </row>
    <row r="344" spans="1:40" ht="12.75"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8"/>
      <c r="AE344" s="5"/>
      <c r="AF344" s="8"/>
      <c r="AG344" s="4"/>
      <c r="AH344" s="5"/>
      <c r="AI344" s="5"/>
      <c r="AJ344" s="5"/>
      <c r="AK344" s="5"/>
      <c r="AL344" s="5"/>
      <c r="AM344" s="5"/>
      <c r="AN344" s="5"/>
    </row>
    <row r="345" spans="1:40" ht="12.75"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8"/>
      <c r="AE345" s="5"/>
      <c r="AF345" s="8"/>
      <c r="AG345" s="4"/>
      <c r="AH345" s="5"/>
      <c r="AI345" s="5"/>
      <c r="AJ345" s="5"/>
      <c r="AK345" s="5"/>
      <c r="AL345" s="5"/>
      <c r="AM345" s="5"/>
      <c r="AN345" s="5"/>
    </row>
    <row r="346" spans="1:40" ht="12.75"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8"/>
      <c r="AE346" s="5"/>
      <c r="AF346" s="8"/>
      <c r="AG346" s="4"/>
      <c r="AH346" s="5"/>
      <c r="AI346" s="5"/>
      <c r="AJ346" s="5"/>
      <c r="AK346" s="5"/>
      <c r="AL346" s="5"/>
      <c r="AM346" s="5"/>
      <c r="AN346" s="5"/>
    </row>
    <row r="347" spans="1:40" ht="12.75"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8"/>
      <c r="AE347" s="5"/>
      <c r="AF347" s="8"/>
      <c r="AG347" s="4"/>
      <c r="AH347" s="5"/>
      <c r="AI347" s="5"/>
      <c r="AJ347" s="5"/>
      <c r="AK347" s="5"/>
      <c r="AL347" s="5"/>
      <c r="AM347" s="5"/>
      <c r="AN347" s="5"/>
    </row>
    <row r="348" spans="1:40" ht="12.75"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8"/>
      <c r="AE348" s="5"/>
      <c r="AF348" s="8"/>
      <c r="AG348" s="4"/>
      <c r="AH348" s="5"/>
      <c r="AI348" s="5"/>
      <c r="AJ348" s="5"/>
      <c r="AK348" s="5"/>
      <c r="AL348" s="5"/>
      <c r="AM348" s="5"/>
      <c r="AN348" s="5"/>
    </row>
    <row r="349" spans="1:40" ht="12.75"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8"/>
      <c r="AE349" s="5"/>
      <c r="AF349" s="8"/>
      <c r="AG349" s="4"/>
      <c r="AH349" s="5"/>
      <c r="AI349" s="5"/>
      <c r="AJ349" s="5"/>
      <c r="AK349" s="5"/>
      <c r="AL349" s="5"/>
      <c r="AM349" s="5"/>
      <c r="AN349" s="5"/>
    </row>
    <row r="350" spans="1:40" ht="12.75"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8"/>
      <c r="AE350" s="5"/>
      <c r="AF350" s="8"/>
      <c r="AG350" s="4"/>
      <c r="AH350" s="5"/>
      <c r="AI350" s="5"/>
      <c r="AJ350" s="5"/>
      <c r="AK350" s="5"/>
      <c r="AL350" s="5"/>
      <c r="AM350" s="5"/>
      <c r="AN350" s="5"/>
    </row>
    <row r="351" spans="1:40" ht="12.75"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8"/>
      <c r="AE351" s="5"/>
      <c r="AF351" s="8"/>
      <c r="AG351" s="4"/>
      <c r="AH351" s="5"/>
      <c r="AI351" s="5"/>
      <c r="AJ351" s="5"/>
      <c r="AK351" s="5"/>
      <c r="AL351" s="5"/>
      <c r="AM351" s="5"/>
      <c r="AN351" s="5"/>
    </row>
    <row r="352" spans="1:40" ht="12.75"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8"/>
      <c r="AE352" s="5"/>
      <c r="AF352" s="8"/>
      <c r="AG352" s="4"/>
      <c r="AH352" s="5"/>
      <c r="AI352" s="5"/>
      <c r="AJ352" s="5"/>
      <c r="AK352" s="5"/>
      <c r="AL352" s="5"/>
      <c r="AM352" s="5"/>
      <c r="AN352" s="5"/>
    </row>
    <row r="353" spans="1:40" ht="12.75"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8"/>
      <c r="AE353" s="5"/>
      <c r="AF353" s="8"/>
      <c r="AG353" s="4"/>
      <c r="AH353" s="5"/>
      <c r="AI353" s="5"/>
      <c r="AJ353" s="5"/>
      <c r="AK353" s="5"/>
      <c r="AL353" s="5"/>
      <c r="AM353" s="5"/>
      <c r="AN353" s="5"/>
    </row>
    <row r="354" spans="1:40" ht="12.75"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8"/>
      <c r="AE354" s="5"/>
      <c r="AF354" s="8"/>
      <c r="AG354" s="4"/>
      <c r="AH354" s="5"/>
      <c r="AI354" s="5"/>
      <c r="AJ354" s="5"/>
      <c r="AK354" s="5"/>
      <c r="AL354" s="5"/>
      <c r="AM354" s="5"/>
      <c r="AN354" s="5"/>
    </row>
    <row r="355" spans="1:40" ht="12.75"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8"/>
      <c r="AE355" s="5"/>
      <c r="AF355" s="8"/>
      <c r="AG355" s="4"/>
      <c r="AH355" s="5"/>
      <c r="AI355" s="5"/>
      <c r="AJ355" s="5"/>
      <c r="AK355" s="5"/>
      <c r="AL355" s="5"/>
      <c r="AM355" s="5"/>
      <c r="AN355" s="5"/>
    </row>
    <row r="356" spans="1:40" ht="12.75"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8"/>
      <c r="AE356" s="5"/>
      <c r="AF356" s="8"/>
      <c r="AG356" s="4"/>
      <c r="AH356" s="5"/>
      <c r="AI356" s="5"/>
      <c r="AJ356" s="5"/>
      <c r="AK356" s="5"/>
      <c r="AL356" s="5"/>
      <c r="AM356" s="5"/>
      <c r="AN356" s="5"/>
    </row>
    <row r="357" spans="1:40" ht="12.75"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8"/>
      <c r="AE357" s="5"/>
      <c r="AF357" s="8"/>
      <c r="AG357" s="4"/>
      <c r="AH357" s="5"/>
      <c r="AI357" s="5"/>
      <c r="AJ357" s="5"/>
      <c r="AK357" s="5"/>
      <c r="AL357" s="5"/>
      <c r="AM357" s="5"/>
      <c r="AN357" s="5"/>
    </row>
    <row r="358" spans="1:40" ht="12.75"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8"/>
      <c r="AE358" s="5"/>
      <c r="AF358" s="8"/>
      <c r="AG358" s="4"/>
      <c r="AH358" s="5"/>
      <c r="AI358" s="5"/>
      <c r="AJ358" s="5"/>
      <c r="AK358" s="5"/>
      <c r="AL358" s="5"/>
      <c r="AM358" s="5"/>
      <c r="AN358" s="5"/>
    </row>
    <row r="359" spans="1:40" ht="12.75"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8"/>
      <c r="AE359" s="5"/>
      <c r="AF359" s="8"/>
      <c r="AG359" s="4"/>
      <c r="AH359" s="5"/>
      <c r="AI359" s="5"/>
      <c r="AJ359" s="5"/>
      <c r="AK359" s="5"/>
      <c r="AL359" s="5"/>
      <c r="AM359" s="5"/>
      <c r="AN359" s="5"/>
    </row>
    <row r="360" spans="1:40" ht="12.75"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8"/>
      <c r="AE360" s="5"/>
      <c r="AF360" s="8"/>
      <c r="AG360" s="4"/>
      <c r="AH360" s="5"/>
      <c r="AI360" s="5"/>
      <c r="AJ360" s="5"/>
      <c r="AK360" s="5"/>
      <c r="AL360" s="5"/>
      <c r="AM360" s="5"/>
      <c r="AN360" s="5"/>
    </row>
    <row r="361" spans="1:40" ht="12.75"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8"/>
      <c r="AE361" s="5"/>
      <c r="AF361" s="8"/>
      <c r="AG361" s="4"/>
      <c r="AH361" s="5"/>
      <c r="AI361" s="5"/>
      <c r="AJ361" s="5"/>
      <c r="AK361" s="5"/>
      <c r="AL361" s="5"/>
      <c r="AM361" s="5"/>
      <c r="AN361" s="5"/>
    </row>
    <row r="362" spans="1:40" ht="12.75"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8"/>
      <c r="AE362" s="5"/>
      <c r="AF362" s="8"/>
      <c r="AG362" s="4"/>
      <c r="AH362" s="5"/>
      <c r="AI362" s="5"/>
      <c r="AJ362" s="5"/>
      <c r="AK362" s="5"/>
      <c r="AL362" s="5"/>
      <c r="AM362" s="5"/>
      <c r="AN362" s="5"/>
    </row>
    <row r="363" spans="1:40" ht="12.75"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8"/>
      <c r="AE363" s="5"/>
      <c r="AF363" s="8"/>
      <c r="AG363" s="4"/>
      <c r="AH363" s="5"/>
      <c r="AI363" s="5"/>
      <c r="AJ363" s="5"/>
      <c r="AK363" s="5"/>
      <c r="AL363" s="5"/>
      <c r="AM363" s="5"/>
      <c r="AN363" s="5"/>
    </row>
    <row r="364" spans="1:40" ht="12.75"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8"/>
      <c r="AE364" s="5"/>
      <c r="AF364" s="8"/>
      <c r="AG364" s="4"/>
      <c r="AH364" s="5"/>
      <c r="AI364" s="5"/>
      <c r="AJ364" s="5"/>
      <c r="AK364" s="5"/>
      <c r="AL364" s="5"/>
      <c r="AM364" s="5"/>
      <c r="AN364" s="5"/>
    </row>
    <row r="365" spans="1:40" ht="12.75"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8"/>
      <c r="AE365" s="5"/>
      <c r="AF365" s="8"/>
      <c r="AG365" s="4"/>
      <c r="AH365" s="5"/>
      <c r="AI365" s="5"/>
      <c r="AJ365" s="5"/>
      <c r="AK365" s="5"/>
      <c r="AL365" s="5"/>
      <c r="AM365" s="5"/>
      <c r="AN365" s="5"/>
    </row>
    <row r="366" spans="1:40" ht="12.75"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8"/>
      <c r="AE366" s="5"/>
      <c r="AF366" s="8"/>
      <c r="AG366" s="4"/>
      <c r="AH366" s="5"/>
      <c r="AI366" s="5"/>
      <c r="AJ366" s="5"/>
      <c r="AK366" s="5"/>
      <c r="AL366" s="5"/>
      <c r="AM366" s="5"/>
      <c r="AN366" s="5"/>
    </row>
    <row r="367" spans="1:40" ht="12.75"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8"/>
      <c r="AE367" s="5"/>
      <c r="AF367" s="8"/>
      <c r="AG367" s="4"/>
      <c r="AH367" s="5"/>
      <c r="AI367" s="5"/>
      <c r="AJ367" s="5"/>
      <c r="AK367" s="5"/>
      <c r="AL367" s="5"/>
      <c r="AM367" s="5"/>
      <c r="AN367" s="5"/>
    </row>
    <row r="368" spans="1:40" ht="12.75"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8"/>
      <c r="AE368" s="5"/>
      <c r="AF368" s="8"/>
      <c r="AG368" s="4"/>
      <c r="AH368" s="5"/>
      <c r="AI368" s="5"/>
      <c r="AJ368" s="5"/>
      <c r="AK368" s="5"/>
      <c r="AL368" s="5"/>
      <c r="AM368" s="5"/>
      <c r="AN368" s="5"/>
    </row>
    <row r="369" spans="1:40" ht="12.75"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8"/>
      <c r="AE369" s="5"/>
      <c r="AF369" s="8"/>
      <c r="AG369" s="4"/>
      <c r="AH369" s="5"/>
      <c r="AI369" s="5"/>
      <c r="AJ369" s="5"/>
      <c r="AK369" s="5"/>
      <c r="AL369" s="5"/>
      <c r="AM369" s="5"/>
      <c r="AN369" s="5"/>
    </row>
    <row r="370" spans="1:40" ht="12.75"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8"/>
      <c r="AE370" s="5"/>
      <c r="AF370" s="8"/>
      <c r="AG370" s="4"/>
      <c r="AH370" s="5"/>
      <c r="AI370" s="5"/>
      <c r="AJ370" s="5"/>
      <c r="AK370" s="5"/>
      <c r="AL370" s="5"/>
      <c r="AM370" s="5"/>
      <c r="AN370" s="5"/>
    </row>
    <row r="371" spans="1:40" ht="12.75"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8"/>
      <c r="AE371" s="5"/>
      <c r="AF371" s="8"/>
      <c r="AG371" s="4"/>
      <c r="AH371" s="5"/>
      <c r="AI371" s="5"/>
      <c r="AJ371" s="5"/>
      <c r="AK371" s="5"/>
      <c r="AL371" s="5"/>
      <c r="AM371" s="5"/>
      <c r="AN371" s="5"/>
    </row>
    <row r="372" spans="1:40" ht="12.75"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8"/>
      <c r="AE372" s="5"/>
      <c r="AF372" s="8"/>
      <c r="AG372" s="4"/>
      <c r="AH372" s="5"/>
      <c r="AI372" s="5"/>
      <c r="AJ372" s="5"/>
      <c r="AK372" s="5"/>
      <c r="AL372" s="5"/>
      <c r="AM372" s="5"/>
      <c r="AN372" s="5"/>
    </row>
    <row r="373" spans="1:40" ht="12.75"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8"/>
      <c r="AE373" s="5"/>
      <c r="AF373" s="8"/>
      <c r="AG373" s="4"/>
      <c r="AH373" s="5"/>
      <c r="AI373" s="5"/>
      <c r="AJ373" s="5"/>
      <c r="AK373" s="5"/>
      <c r="AL373" s="5"/>
      <c r="AM373" s="5"/>
      <c r="AN373" s="5"/>
    </row>
    <row r="374" spans="1:40" ht="12.75"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8"/>
      <c r="AE374" s="5"/>
      <c r="AF374" s="8"/>
      <c r="AG374" s="4"/>
      <c r="AH374" s="5"/>
      <c r="AI374" s="5"/>
      <c r="AJ374" s="5"/>
      <c r="AK374" s="5"/>
      <c r="AL374" s="5"/>
      <c r="AM374" s="5"/>
      <c r="AN374" s="5"/>
    </row>
    <row r="375" spans="1:40" ht="12.75"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8"/>
      <c r="AE375" s="5"/>
      <c r="AF375" s="8"/>
      <c r="AG375" s="4"/>
      <c r="AH375" s="5"/>
      <c r="AI375" s="5"/>
      <c r="AJ375" s="5"/>
      <c r="AK375" s="5"/>
      <c r="AL375" s="5"/>
      <c r="AM375" s="5"/>
      <c r="AN375" s="5"/>
    </row>
    <row r="376" spans="1:40" ht="12.75"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8"/>
      <c r="AE376" s="5"/>
      <c r="AF376" s="8"/>
      <c r="AG376" s="4"/>
      <c r="AH376" s="5"/>
      <c r="AI376" s="5"/>
      <c r="AJ376" s="5"/>
      <c r="AK376" s="5"/>
      <c r="AL376" s="5"/>
      <c r="AM376" s="5"/>
      <c r="AN376" s="5"/>
    </row>
    <row r="377" spans="1:40" ht="12.75"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8"/>
      <c r="AE377" s="5"/>
      <c r="AF377" s="8"/>
      <c r="AG377" s="4"/>
      <c r="AH377" s="5"/>
      <c r="AI377" s="5"/>
      <c r="AJ377" s="5"/>
      <c r="AK377" s="5"/>
      <c r="AL377" s="5"/>
      <c r="AM377" s="5"/>
      <c r="AN377" s="5"/>
    </row>
    <row r="378" spans="1:40" ht="12.75"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8"/>
      <c r="AE378" s="5"/>
      <c r="AF378" s="8"/>
      <c r="AG378" s="4"/>
      <c r="AH378" s="5"/>
      <c r="AI378" s="5"/>
      <c r="AJ378" s="5"/>
      <c r="AK378" s="5"/>
      <c r="AL378" s="5"/>
      <c r="AM378" s="5"/>
      <c r="AN378" s="5"/>
    </row>
    <row r="379" spans="1:40" ht="12.75"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8"/>
      <c r="AE379" s="5"/>
      <c r="AF379" s="8"/>
      <c r="AG379" s="4"/>
      <c r="AH379" s="5"/>
      <c r="AI379" s="5"/>
      <c r="AJ379" s="5"/>
      <c r="AK379" s="5"/>
      <c r="AL379" s="5"/>
      <c r="AM379" s="5"/>
      <c r="AN379" s="5"/>
    </row>
    <row r="380" spans="1:40" ht="12.75"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8"/>
      <c r="AE380" s="5"/>
      <c r="AF380" s="8"/>
      <c r="AG380" s="4"/>
      <c r="AH380" s="5"/>
      <c r="AI380" s="5"/>
      <c r="AJ380" s="5"/>
      <c r="AK380" s="5"/>
      <c r="AL380" s="5"/>
      <c r="AM380" s="5"/>
      <c r="AN380" s="5"/>
    </row>
    <row r="381" spans="1:40" ht="12.75"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8"/>
      <c r="AE381" s="5"/>
      <c r="AF381" s="8"/>
      <c r="AG381" s="4"/>
      <c r="AH381" s="5"/>
      <c r="AI381" s="5"/>
      <c r="AJ381" s="5"/>
      <c r="AK381" s="5"/>
      <c r="AL381" s="5"/>
      <c r="AM381" s="5"/>
      <c r="AN381" s="5"/>
    </row>
    <row r="382" spans="1:40" ht="12.75"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8"/>
      <c r="AE382" s="5"/>
      <c r="AF382" s="8"/>
      <c r="AG382" s="4"/>
      <c r="AH382" s="5"/>
      <c r="AI382" s="5"/>
      <c r="AJ382" s="5"/>
      <c r="AK382" s="5"/>
      <c r="AL382" s="5"/>
      <c r="AM382" s="5"/>
      <c r="AN382" s="5"/>
    </row>
    <row r="383" spans="1:40" ht="12.75"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8"/>
      <c r="AE383" s="5"/>
      <c r="AF383" s="8"/>
      <c r="AG383" s="4"/>
      <c r="AH383" s="5"/>
      <c r="AI383" s="5"/>
      <c r="AJ383" s="5"/>
      <c r="AK383" s="5"/>
      <c r="AL383" s="5"/>
      <c r="AM383" s="5"/>
      <c r="AN383" s="5"/>
    </row>
    <row r="384" spans="1:40" ht="12.75"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8"/>
      <c r="AE384" s="5"/>
      <c r="AF384" s="8"/>
      <c r="AG384" s="4"/>
      <c r="AH384" s="5"/>
      <c r="AI384" s="5"/>
      <c r="AJ384" s="5"/>
      <c r="AK384" s="5"/>
      <c r="AL384" s="5"/>
      <c r="AM384" s="5"/>
      <c r="AN384" s="5"/>
    </row>
    <row r="385" spans="1:40" ht="12.75"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8"/>
      <c r="AE385" s="5"/>
      <c r="AF385" s="8"/>
      <c r="AG385" s="4"/>
      <c r="AH385" s="5"/>
      <c r="AI385" s="5"/>
      <c r="AJ385" s="5"/>
      <c r="AK385" s="5"/>
      <c r="AL385" s="5"/>
      <c r="AM385" s="5"/>
      <c r="AN385" s="5"/>
    </row>
    <row r="386" spans="1:40" ht="12.75"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8"/>
      <c r="AE386" s="5"/>
      <c r="AF386" s="8"/>
      <c r="AG386" s="4"/>
      <c r="AH386" s="5"/>
      <c r="AI386" s="5"/>
      <c r="AJ386" s="5"/>
      <c r="AK386" s="5"/>
      <c r="AL386" s="5"/>
      <c r="AM386" s="5"/>
      <c r="AN386" s="5"/>
    </row>
    <row r="387" spans="1:40" ht="12.75"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8"/>
      <c r="AE387" s="5"/>
      <c r="AF387" s="8"/>
      <c r="AG387" s="4"/>
      <c r="AH387" s="5"/>
      <c r="AI387" s="5"/>
      <c r="AJ387" s="5"/>
      <c r="AK387" s="5"/>
      <c r="AL387" s="5"/>
      <c r="AM387" s="5"/>
      <c r="AN387" s="5"/>
    </row>
    <row r="388" spans="1:40" ht="12.75"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8"/>
      <c r="AE388" s="5"/>
      <c r="AF388" s="8"/>
      <c r="AG388" s="4"/>
      <c r="AH388" s="5"/>
      <c r="AI388" s="5"/>
      <c r="AJ388" s="5"/>
      <c r="AK388" s="5"/>
      <c r="AL388" s="5"/>
      <c r="AM388" s="5"/>
      <c r="AN388" s="5"/>
    </row>
    <row r="389" spans="1:40" ht="12.75"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8"/>
      <c r="AE389" s="5"/>
      <c r="AF389" s="8"/>
      <c r="AG389" s="4"/>
      <c r="AH389" s="5"/>
      <c r="AI389" s="5"/>
      <c r="AJ389" s="5"/>
      <c r="AK389" s="5"/>
      <c r="AL389" s="5"/>
      <c r="AM389" s="5"/>
      <c r="AN389" s="5"/>
    </row>
    <row r="390" spans="1:40" ht="12.75"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8"/>
      <c r="AE390" s="5"/>
      <c r="AF390" s="8"/>
      <c r="AG390" s="4"/>
      <c r="AH390" s="5"/>
      <c r="AI390" s="5"/>
      <c r="AJ390" s="5"/>
      <c r="AK390" s="5"/>
      <c r="AL390" s="5"/>
      <c r="AM390" s="5"/>
      <c r="AN390" s="5"/>
    </row>
    <row r="391" spans="1:40" ht="12.75"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8"/>
      <c r="AE391" s="5"/>
      <c r="AF391" s="8"/>
      <c r="AG391" s="4"/>
      <c r="AH391" s="5"/>
      <c r="AI391" s="5"/>
      <c r="AJ391" s="5"/>
      <c r="AK391" s="5"/>
      <c r="AL391" s="5"/>
      <c r="AM391" s="5"/>
      <c r="AN391" s="5"/>
    </row>
    <row r="392" spans="1:40" ht="12.75"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8"/>
      <c r="AE392" s="5"/>
      <c r="AF392" s="8"/>
      <c r="AG392" s="4"/>
      <c r="AH392" s="5"/>
      <c r="AI392" s="5"/>
      <c r="AJ392" s="5"/>
      <c r="AK392" s="5"/>
      <c r="AL392" s="5"/>
      <c r="AM392" s="5"/>
      <c r="AN392" s="5"/>
    </row>
    <row r="393" spans="1:40" ht="12.75"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8"/>
      <c r="AE393" s="5"/>
      <c r="AF393" s="8"/>
      <c r="AG393" s="4"/>
      <c r="AH393" s="5"/>
      <c r="AI393" s="5"/>
      <c r="AJ393" s="5"/>
      <c r="AK393" s="5"/>
      <c r="AL393" s="5"/>
      <c r="AM393" s="5"/>
      <c r="AN393" s="5"/>
    </row>
    <row r="394" spans="1:40" ht="12.75"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8"/>
      <c r="AE394" s="5"/>
      <c r="AF394" s="8"/>
      <c r="AG394" s="4"/>
      <c r="AH394" s="5"/>
      <c r="AI394" s="5"/>
      <c r="AJ394" s="5"/>
      <c r="AK394" s="5"/>
      <c r="AL394" s="5"/>
      <c r="AM394" s="5"/>
      <c r="AN394" s="5"/>
    </row>
    <row r="395" spans="1:40" ht="12.75"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8"/>
      <c r="AE395" s="5"/>
      <c r="AF395" s="8"/>
      <c r="AG395" s="4"/>
      <c r="AH395" s="5"/>
      <c r="AI395" s="5"/>
      <c r="AJ395" s="5"/>
      <c r="AK395" s="5"/>
      <c r="AL395" s="5"/>
      <c r="AM395" s="5"/>
      <c r="AN395" s="5"/>
    </row>
    <row r="396" spans="1:40" ht="12.75"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8"/>
      <c r="AE396" s="5"/>
      <c r="AF396" s="8"/>
      <c r="AG396" s="4"/>
      <c r="AH396" s="5"/>
      <c r="AI396" s="5"/>
      <c r="AJ396" s="5"/>
      <c r="AK396" s="5"/>
      <c r="AL396" s="5"/>
      <c r="AM396" s="5"/>
      <c r="AN396" s="5"/>
    </row>
    <row r="397" spans="1:40" ht="12.75"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8"/>
      <c r="AE397" s="5"/>
      <c r="AF397" s="8"/>
      <c r="AG397" s="4"/>
      <c r="AH397" s="5"/>
      <c r="AI397" s="5"/>
      <c r="AJ397" s="5"/>
      <c r="AK397" s="5"/>
      <c r="AL397" s="5"/>
      <c r="AM397" s="5"/>
      <c r="AN397" s="5"/>
    </row>
    <row r="398" spans="1:40" ht="12.75"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8"/>
      <c r="AE398" s="5"/>
      <c r="AF398" s="8"/>
      <c r="AG398" s="4"/>
      <c r="AH398" s="5"/>
      <c r="AI398" s="5"/>
      <c r="AJ398" s="5"/>
      <c r="AK398" s="5"/>
      <c r="AL398" s="5"/>
      <c r="AM398" s="5"/>
      <c r="AN398" s="5"/>
    </row>
    <row r="399" spans="1:40" ht="12.75"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8"/>
      <c r="AE399" s="5"/>
      <c r="AF399" s="8"/>
      <c r="AG399" s="4"/>
      <c r="AH399" s="5"/>
      <c r="AI399" s="5"/>
      <c r="AJ399" s="5"/>
      <c r="AK399" s="5"/>
      <c r="AL399" s="5"/>
      <c r="AM399" s="5"/>
      <c r="AN399" s="5"/>
    </row>
    <row r="400" spans="1:40" ht="12.75"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8"/>
      <c r="AE400" s="5"/>
      <c r="AF400" s="8"/>
      <c r="AG400" s="4"/>
      <c r="AH400" s="5"/>
      <c r="AI400" s="5"/>
      <c r="AJ400" s="5"/>
      <c r="AK400" s="5"/>
      <c r="AL400" s="5"/>
      <c r="AM400" s="5"/>
      <c r="AN400" s="5"/>
    </row>
    <row r="401" spans="1:40" ht="12.75"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8"/>
      <c r="AE401" s="5"/>
      <c r="AF401" s="8"/>
      <c r="AG401" s="4"/>
      <c r="AH401" s="5"/>
      <c r="AI401" s="5"/>
      <c r="AJ401" s="5"/>
      <c r="AK401" s="5"/>
      <c r="AL401" s="5"/>
      <c r="AM401" s="5"/>
      <c r="AN401" s="5"/>
    </row>
    <row r="402" spans="1:40" ht="12.75"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8"/>
      <c r="AE402" s="5"/>
      <c r="AF402" s="8"/>
      <c r="AG402" s="4"/>
      <c r="AH402" s="5"/>
      <c r="AI402" s="5"/>
      <c r="AJ402" s="5"/>
      <c r="AK402" s="5"/>
      <c r="AL402" s="5"/>
      <c r="AM402" s="5"/>
      <c r="AN402" s="5"/>
    </row>
    <row r="403" spans="1:40" ht="12.75"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8"/>
      <c r="AE403" s="5"/>
      <c r="AF403" s="8"/>
      <c r="AG403" s="4"/>
      <c r="AH403" s="5"/>
      <c r="AI403" s="5"/>
      <c r="AJ403" s="5"/>
      <c r="AK403" s="5"/>
      <c r="AL403" s="5"/>
      <c r="AM403" s="5"/>
      <c r="AN403" s="5"/>
    </row>
    <row r="404" spans="1:40" ht="12.75"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8"/>
      <c r="AE404" s="5"/>
      <c r="AF404" s="8"/>
      <c r="AG404" s="4"/>
      <c r="AH404" s="5"/>
      <c r="AI404" s="5"/>
      <c r="AJ404" s="5"/>
      <c r="AK404" s="5"/>
      <c r="AL404" s="5"/>
      <c r="AM404" s="5"/>
      <c r="AN404" s="5"/>
    </row>
    <row r="405" spans="1:40" ht="12.75"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8"/>
      <c r="AE405" s="5"/>
      <c r="AF405" s="8"/>
      <c r="AG405" s="4"/>
      <c r="AH405" s="5"/>
      <c r="AI405" s="5"/>
      <c r="AJ405" s="5"/>
      <c r="AK405" s="5"/>
      <c r="AL405" s="5"/>
      <c r="AM405" s="5"/>
      <c r="AN405" s="5"/>
    </row>
    <row r="406" spans="1:40" ht="12.75"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8"/>
      <c r="AE406" s="5"/>
      <c r="AF406" s="8"/>
      <c r="AG406" s="4"/>
      <c r="AH406" s="5"/>
      <c r="AI406" s="5"/>
      <c r="AJ406" s="5"/>
      <c r="AK406" s="5"/>
      <c r="AL406" s="5"/>
      <c r="AM406" s="5"/>
      <c r="AN406" s="5"/>
    </row>
    <row r="407" spans="1:40" ht="12.75"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8"/>
      <c r="AE407" s="5"/>
      <c r="AF407" s="8"/>
      <c r="AG407" s="4"/>
      <c r="AH407" s="5"/>
      <c r="AI407" s="5"/>
      <c r="AJ407" s="5"/>
      <c r="AK407" s="5"/>
      <c r="AL407" s="5"/>
      <c r="AM407" s="5"/>
      <c r="AN407" s="5"/>
    </row>
    <row r="408" spans="1:40" ht="12.75"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8"/>
      <c r="AE408" s="5"/>
      <c r="AF408" s="8"/>
      <c r="AG408" s="4"/>
      <c r="AH408" s="5"/>
      <c r="AI408" s="5"/>
      <c r="AJ408" s="5"/>
      <c r="AK408" s="5"/>
      <c r="AL408" s="5"/>
      <c r="AM408" s="5"/>
      <c r="AN408" s="5"/>
    </row>
    <row r="409" spans="1:40" ht="12.75"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8"/>
      <c r="AE409" s="5"/>
      <c r="AF409" s="8"/>
      <c r="AG409" s="4"/>
      <c r="AH409" s="5"/>
      <c r="AI409" s="5"/>
      <c r="AJ409" s="5"/>
      <c r="AK409" s="5"/>
      <c r="AL409" s="5"/>
      <c r="AM409" s="5"/>
      <c r="AN409" s="5"/>
    </row>
    <row r="410" spans="1:40" ht="12.75"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8"/>
      <c r="AE410" s="5"/>
      <c r="AF410" s="8"/>
      <c r="AG410" s="4"/>
      <c r="AH410" s="5"/>
      <c r="AI410" s="5"/>
      <c r="AJ410" s="5"/>
      <c r="AK410" s="5"/>
      <c r="AL410" s="5"/>
      <c r="AM410" s="5"/>
      <c r="AN410" s="5"/>
    </row>
    <row r="411" spans="1:40" ht="12.75"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8"/>
      <c r="AE411" s="5"/>
      <c r="AF411" s="8"/>
      <c r="AG411" s="4"/>
      <c r="AH411" s="5"/>
      <c r="AI411" s="5"/>
      <c r="AJ411" s="5"/>
      <c r="AK411" s="5"/>
      <c r="AL411" s="5"/>
      <c r="AM411" s="5"/>
      <c r="AN411" s="5"/>
    </row>
    <row r="412" spans="1:40" ht="12.75"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8"/>
      <c r="AE412" s="5"/>
      <c r="AF412" s="8"/>
      <c r="AG412" s="4"/>
      <c r="AH412" s="5"/>
      <c r="AI412" s="5"/>
      <c r="AJ412" s="5"/>
      <c r="AK412" s="5"/>
      <c r="AL412" s="5"/>
      <c r="AM412" s="5"/>
      <c r="AN412" s="5"/>
    </row>
    <row r="413" spans="1:40" ht="12.75"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8"/>
      <c r="AE413" s="5"/>
      <c r="AF413" s="8"/>
      <c r="AG413" s="4"/>
      <c r="AH413" s="5"/>
      <c r="AI413" s="5"/>
      <c r="AJ413" s="5"/>
      <c r="AK413" s="5"/>
      <c r="AL413" s="5"/>
      <c r="AM413" s="5"/>
      <c r="AN413" s="5"/>
    </row>
    <row r="414" spans="1:40" ht="12.75"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8"/>
      <c r="AE414" s="5"/>
      <c r="AF414" s="8"/>
      <c r="AG414" s="4"/>
      <c r="AH414" s="5"/>
      <c r="AI414" s="5"/>
      <c r="AJ414" s="5"/>
      <c r="AK414" s="5"/>
      <c r="AL414" s="5"/>
      <c r="AM414" s="5"/>
      <c r="AN414" s="5"/>
    </row>
    <row r="415" spans="1:40" ht="12.75"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8"/>
      <c r="AE415" s="5"/>
      <c r="AF415" s="8"/>
      <c r="AG415" s="4"/>
      <c r="AH415" s="5"/>
      <c r="AI415" s="5"/>
      <c r="AJ415" s="5"/>
      <c r="AK415" s="5"/>
      <c r="AL415" s="5"/>
      <c r="AM415" s="5"/>
      <c r="AN415" s="5"/>
    </row>
    <row r="416" spans="1:40" ht="12.75"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8"/>
      <c r="AE416" s="5"/>
      <c r="AF416" s="8"/>
      <c r="AG416" s="4"/>
      <c r="AH416" s="5"/>
      <c r="AI416" s="5"/>
      <c r="AJ416" s="5"/>
      <c r="AK416" s="5"/>
      <c r="AL416" s="5"/>
      <c r="AM416" s="5"/>
      <c r="AN416" s="5"/>
    </row>
    <row r="417" spans="1:40" ht="12.75"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8"/>
      <c r="AE417" s="5"/>
      <c r="AF417" s="8"/>
      <c r="AG417" s="4"/>
      <c r="AH417" s="5"/>
      <c r="AI417" s="5"/>
      <c r="AJ417" s="5"/>
      <c r="AK417" s="5"/>
      <c r="AL417" s="5"/>
      <c r="AM417" s="5"/>
      <c r="AN417" s="5"/>
    </row>
    <row r="418" spans="1:40" ht="12.75"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8"/>
      <c r="AE418" s="5"/>
      <c r="AF418" s="8"/>
      <c r="AG418" s="4"/>
      <c r="AH418" s="5"/>
      <c r="AI418" s="5"/>
      <c r="AJ418" s="5"/>
      <c r="AK418" s="5"/>
      <c r="AL418" s="5"/>
      <c r="AM418" s="5"/>
      <c r="AN418" s="5"/>
    </row>
    <row r="419" spans="1:40" ht="12.75"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8"/>
      <c r="AE419" s="5"/>
      <c r="AF419" s="8"/>
      <c r="AG419" s="4"/>
      <c r="AH419" s="5"/>
      <c r="AI419" s="5"/>
      <c r="AJ419" s="5"/>
      <c r="AK419" s="5"/>
      <c r="AL419" s="5"/>
      <c r="AM419" s="5"/>
      <c r="AN419" s="5"/>
    </row>
    <row r="420" spans="1:40" ht="12.75"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8"/>
      <c r="AE420" s="5"/>
      <c r="AF420" s="8"/>
      <c r="AG420" s="4"/>
      <c r="AH420" s="5"/>
      <c r="AI420" s="5"/>
      <c r="AJ420" s="5"/>
      <c r="AK420" s="5"/>
      <c r="AL420" s="5"/>
      <c r="AM420" s="5"/>
      <c r="AN420" s="5"/>
    </row>
    <row r="421" spans="1:40" ht="12.75"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8"/>
      <c r="AE421" s="5"/>
      <c r="AF421" s="8"/>
      <c r="AG421" s="4"/>
      <c r="AH421" s="5"/>
      <c r="AI421" s="5"/>
      <c r="AJ421" s="5"/>
      <c r="AK421" s="5"/>
      <c r="AL421" s="5"/>
      <c r="AM421" s="5"/>
      <c r="AN421" s="5"/>
    </row>
    <row r="422" spans="1:40" ht="12.75"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8"/>
      <c r="AE422" s="5"/>
      <c r="AF422" s="8"/>
      <c r="AG422" s="4"/>
      <c r="AH422" s="5"/>
      <c r="AI422" s="5"/>
      <c r="AJ422" s="5"/>
      <c r="AK422" s="5"/>
      <c r="AL422" s="5"/>
      <c r="AM422" s="5"/>
      <c r="AN422" s="5"/>
    </row>
    <row r="423" spans="1:40" ht="12.75"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8"/>
      <c r="AE423" s="5"/>
      <c r="AF423" s="8"/>
      <c r="AG423" s="4"/>
      <c r="AH423" s="5"/>
      <c r="AI423" s="5"/>
      <c r="AJ423" s="5"/>
      <c r="AK423" s="5"/>
      <c r="AL423" s="5"/>
      <c r="AM423" s="5"/>
      <c r="AN423" s="5"/>
    </row>
    <row r="424" spans="1:40" ht="12.75"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8"/>
      <c r="AE424" s="5"/>
      <c r="AF424" s="8"/>
      <c r="AG424" s="4"/>
      <c r="AH424" s="5"/>
      <c r="AI424" s="5"/>
      <c r="AJ424" s="5"/>
      <c r="AK424" s="5"/>
      <c r="AL424" s="5"/>
      <c r="AM424" s="5"/>
      <c r="AN424" s="5"/>
    </row>
    <row r="425" spans="1:40" ht="12.75"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8"/>
      <c r="AE425" s="5"/>
      <c r="AF425" s="8"/>
      <c r="AG425" s="4"/>
      <c r="AH425" s="5"/>
      <c r="AI425" s="5"/>
      <c r="AJ425" s="5"/>
      <c r="AK425" s="5"/>
      <c r="AL425" s="5"/>
      <c r="AM425" s="5"/>
      <c r="AN425" s="5"/>
    </row>
    <row r="426" spans="1:40" ht="12.75" x14ac:dyDescent="0.3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8"/>
      <c r="AE426" s="5"/>
      <c r="AF426" s="8"/>
      <c r="AG426" s="4"/>
      <c r="AH426" s="5"/>
      <c r="AI426" s="5"/>
      <c r="AJ426" s="5"/>
      <c r="AK426" s="5"/>
      <c r="AL426" s="5"/>
      <c r="AM426" s="5"/>
      <c r="AN426" s="5"/>
    </row>
    <row r="427" spans="1:40" ht="12.75" x14ac:dyDescent="0.3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8"/>
      <c r="AE427" s="5"/>
      <c r="AF427" s="8"/>
      <c r="AG427" s="4"/>
      <c r="AH427" s="5"/>
      <c r="AI427" s="5"/>
      <c r="AJ427" s="5"/>
      <c r="AK427" s="5"/>
      <c r="AL427" s="5"/>
      <c r="AM427" s="5"/>
      <c r="AN427" s="5"/>
    </row>
    <row r="428" spans="1:40" ht="12.75" x14ac:dyDescent="0.3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8"/>
      <c r="AE428" s="5"/>
      <c r="AF428" s="8"/>
      <c r="AG428" s="4"/>
      <c r="AH428" s="5"/>
      <c r="AI428" s="5"/>
      <c r="AJ428" s="5"/>
      <c r="AK428" s="5"/>
      <c r="AL428" s="5"/>
      <c r="AM428" s="5"/>
      <c r="AN428" s="5"/>
    </row>
    <row r="429" spans="1:40" ht="12.75" x14ac:dyDescent="0.3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8"/>
      <c r="AE429" s="5"/>
      <c r="AF429" s="8"/>
      <c r="AG429" s="4"/>
      <c r="AH429" s="5"/>
      <c r="AI429" s="5"/>
      <c r="AJ429" s="5"/>
      <c r="AK429" s="5"/>
      <c r="AL429" s="5"/>
      <c r="AM429" s="5"/>
      <c r="AN429" s="5"/>
    </row>
    <row r="430" spans="1:40" ht="12.75" x14ac:dyDescent="0.3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8"/>
      <c r="AE430" s="5"/>
      <c r="AF430" s="8"/>
      <c r="AG430" s="4"/>
      <c r="AH430" s="5"/>
      <c r="AI430" s="5"/>
      <c r="AJ430" s="5"/>
      <c r="AK430" s="5"/>
      <c r="AL430" s="5"/>
      <c r="AM430" s="5"/>
      <c r="AN430" s="5"/>
    </row>
    <row r="431" spans="1:40" ht="12.75" x14ac:dyDescent="0.3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8"/>
      <c r="AE431" s="5"/>
      <c r="AF431" s="8"/>
      <c r="AG431" s="4"/>
      <c r="AH431" s="5"/>
      <c r="AI431" s="5"/>
      <c r="AJ431" s="5"/>
      <c r="AK431" s="5"/>
      <c r="AL431" s="5"/>
      <c r="AM431" s="5"/>
      <c r="AN431" s="5"/>
    </row>
    <row r="432" spans="1:40" ht="12.75" x14ac:dyDescent="0.3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8"/>
      <c r="AE432" s="5"/>
      <c r="AF432" s="8"/>
      <c r="AG432" s="4"/>
      <c r="AH432" s="5"/>
      <c r="AI432" s="5"/>
      <c r="AJ432" s="5"/>
      <c r="AK432" s="5"/>
      <c r="AL432" s="5"/>
      <c r="AM432" s="5"/>
      <c r="AN432" s="5"/>
    </row>
    <row r="433" spans="1:40" ht="12.75" x14ac:dyDescent="0.3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8"/>
      <c r="AE433" s="5"/>
      <c r="AF433" s="8"/>
      <c r="AG433" s="4"/>
      <c r="AH433" s="5"/>
      <c r="AI433" s="5"/>
      <c r="AJ433" s="5"/>
      <c r="AK433" s="5"/>
      <c r="AL433" s="5"/>
      <c r="AM433" s="5"/>
      <c r="AN433" s="5"/>
    </row>
    <row r="434" spans="1:40" ht="12.75" x14ac:dyDescent="0.3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8"/>
      <c r="AE434" s="5"/>
      <c r="AF434" s="8"/>
      <c r="AG434" s="4"/>
      <c r="AH434" s="5"/>
      <c r="AI434" s="5"/>
      <c r="AJ434" s="5"/>
      <c r="AK434" s="5"/>
      <c r="AL434" s="5"/>
      <c r="AM434" s="5"/>
      <c r="AN434" s="5"/>
    </row>
    <row r="435" spans="1:40" ht="12.75" x14ac:dyDescent="0.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8"/>
      <c r="AE435" s="5"/>
      <c r="AF435" s="8"/>
      <c r="AG435" s="4"/>
      <c r="AH435" s="5"/>
      <c r="AI435" s="5"/>
      <c r="AJ435" s="5"/>
      <c r="AK435" s="5"/>
      <c r="AL435" s="5"/>
      <c r="AM435" s="5"/>
      <c r="AN435" s="5"/>
    </row>
    <row r="436" spans="1:40" ht="12.75" x14ac:dyDescent="0.3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8"/>
      <c r="AE436" s="5"/>
      <c r="AF436" s="8"/>
      <c r="AG436" s="4"/>
      <c r="AH436" s="5"/>
      <c r="AI436" s="5"/>
      <c r="AJ436" s="5"/>
      <c r="AK436" s="5"/>
      <c r="AL436" s="5"/>
      <c r="AM436" s="5"/>
      <c r="AN436" s="5"/>
    </row>
    <row r="437" spans="1:40" ht="12.75" x14ac:dyDescent="0.3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8"/>
      <c r="AE437" s="5"/>
      <c r="AF437" s="8"/>
      <c r="AG437" s="4"/>
      <c r="AH437" s="5"/>
      <c r="AI437" s="5"/>
      <c r="AJ437" s="5"/>
      <c r="AK437" s="5"/>
      <c r="AL437" s="5"/>
      <c r="AM437" s="5"/>
      <c r="AN437" s="5"/>
    </row>
    <row r="438" spans="1:40" ht="12.75" x14ac:dyDescent="0.3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8"/>
      <c r="AE438" s="5"/>
      <c r="AF438" s="8"/>
      <c r="AG438" s="4"/>
      <c r="AH438" s="5"/>
      <c r="AI438" s="5"/>
      <c r="AJ438" s="5"/>
      <c r="AK438" s="5"/>
      <c r="AL438" s="5"/>
      <c r="AM438" s="5"/>
      <c r="AN438" s="5"/>
    </row>
    <row r="439" spans="1:40" ht="12.75" x14ac:dyDescent="0.3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8"/>
      <c r="AE439" s="5"/>
      <c r="AF439" s="8"/>
      <c r="AG439" s="4"/>
      <c r="AH439" s="5"/>
      <c r="AI439" s="5"/>
      <c r="AJ439" s="5"/>
      <c r="AK439" s="5"/>
      <c r="AL439" s="5"/>
      <c r="AM439" s="5"/>
      <c r="AN439" s="5"/>
    </row>
    <row r="440" spans="1:40" ht="12.75" x14ac:dyDescent="0.3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8"/>
      <c r="AE440" s="5"/>
      <c r="AF440" s="8"/>
      <c r="AG440" s="4"/>
      <c r="AH440" s="5"/>
      <c r="AI440" s="5"/>
      <c r="AJ440" s="5"/>
      <c r="AK440" s="5"/>
      <c r="AL440" s="5"/>
      <c r="AM440" s="5"/>
      <c r="AN440" s="5"/>
    </row>
    <row r="441" spans="1:40" ht="12.75" x14ac:dyDescent="0.3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8"/>
      <c r="AE441" s="5"/>
      <c r="AF441" s="8"/>
      <c r="AG441" s="4"/>
      <c r="AH441" s="5"/>
      <c r="AI441" s="5"/>
      <c r="AJ441" s="5"/>
      <c r="AK441" s="5"/>
      <c r="AL441" s="5"/>
      <c r="AM441" s="5"/>
      <c r="AN441" s="5"/>
    </row>
    <row r="442" spans="1:40" ht="12.75" x14ac:dyDescent="0.3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8"/>
      <c r="AE442" s="5"/>
      <c r="AF442" s="8"/>
      <c r="AG442" s="4"/>
      <c r="AH442" s="5"/>
      <c r="AI442" s="5"/>
      <c r="AJ442" s="5"/>
      <c r="AK442" s="5"/>
      <c r="AL442" s="5"/>
      <c r="AM442" s="5"/>
      <c r="AN442" s="5"/>
    </row>
    <row r="443" spans="1:40" ht="12.75" x14ac:dyDescent="0.3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8"/>
      <c r="AE443" s="5"/>
      <c r="AF443" s="8"/>
      <c r="AG443" s="4"/>
      <c r="AH443" s="5"/>
      <c r="AI443" s="5"/>
      <c r="AJ443" s="5"/>
      <c r="AK443" s="5"/>
      <c r="AL443" s="5"/>
      <c r="AM443" s="5"/>
      <c r="AN443" s="5"/>
    </row>
    <row r="444" spans="1:40" ht="12.75" x14ac:dyDescent="0.3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8"/>
      <c r="AE444" s="5"/>
      <c r="AF444" s="8"/>
      <c r="AG444" s="4"/>
      <c r="AH444" s="5"/>
      <c r="AI444" s="5"/>
      <c r="AJ444" s="5"/>
      <c r="AK444" s="5"/>
      <c r="AL444" s="5"/>
      <c r="AM444" s="5"/>
      <c r="AN444" s="5"/>
    </row>
    <row r="445" spans="1:40" ht="12.75" x14ac:dyDescent="0.3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8"/>
      <c r="AE445" s="5"/>
      <c r="AF445" s="8"/>
      <c r="AG445" s="4"/>
      <c r="AH445" s="5"/>
      <c r="AI445" s="5"/>
      <c r="AJ445" s="5"/>
      <c r="AK445" s="5"/>
      <c r="AL445" s="5"/>
      <c r="AM445" s="5"/>
      <c r="AN445" s="5"/>
    </row>
    <row r="446" spans="1:40" ht="12.75" x14ac:dyDescent="0.3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8"/>
      <c r="AE446" s="5"/>
      <c r="AF446" s="8"/>
      <c r="AG446" s="4"/>
      <c r="AH446" s="5"/>
      <c r="AI446" s="5"/>
      <c r="AJ446" s="5"/>
      <c r="AK446" s="5"/>
      <c r="AL446" s="5"/>
      <c r="AM446" s="5"/>
      <c r="AN446" s="5"/>
    </row>
    <row r="447" spans="1:40" ht="12.75" x14ac:dyDescent="0.3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8"/>
      <c r="AE447" s="5"/>
      <c r="AF447" s="8"/>
      <c r="AG447" s="4"/>
      <c r="AH447" s="5"/>
      <c r="AI447" s="5"/>
      <c r="AJ447" s="5"/>
      <c r="AK447" s="5"/>
      <c r="AL447" s="5"/>
      <c r="AM447" s="5"/>
      <c r="AN447" s="5"/>
    </row>
    <row r="448" spans="1:40" ht="12.75" x14ac:dyDescent="0.3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8"/>
      <c r="AE448" s="5"/>
      <c r="AF448" s="8"/>
      <c r="AG448" s="4"/>
      <c r="AH448" s="5"/>
      <c r="AI448" s="5"/>
      <c r="AJ448" s="5"/>
      <c r="AK448" s="5"/>
      <c r="AL448" s="5"/>
      <c r="AM448" s="5"/>
      <c r="AN448" s="5"/>
    </row>
    <row r="449" spans="1:40" ht="12.75" x14ac:dyDescent="0.3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8"/>
      <c r="AE449" s="5"/>
      <c r="AF449" s="8"/>
      <c r="AG449" s="4"/>
      <c r="AH449" s="5"/>
      <c r="AI449" s="5"/>
      <c r="AJ449" s="5"/>
      <c r="AK449" s="5"/>
      <c r="AL449" s="5"/>
      <c r="AM449" s="5"/>
      <c r="AN449" s="5"/>
    </row>
    <row r="450" spans="1:40" ht="12.75" x14ac:dyDescent="0.3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8"/>
      <c r="AE450" s="5"/>
      <c r="AF450" s="8"/>
      <c r="AG450" s="4"/>
      <c r="AH450" s="5"/>
      <c r="AI450" s="5"/>
      <c r="AJ450" s="5"/>
      <c r="AK450" s="5"/>
      <c r="AL450" s="5"/>
      <c r="AM450" s="5"/>
      <c r="AN450" s="5"/>
    </row>
    <row r="451" spans="1:40" ht="12.75" x14ac:dyDescent="0.3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8"/>
      <c r="AE451" s="5"/>
      <c r="AF451" s="8"/>
      <c r="AG451" s="4"/>
      <c r="AH451" s="5"/>
      <c r="AI451" s="5"/>
      <c r="AJ451" s="5"/>
      <c r="AK451" s="5"/>
      <c r="AL451" s="5"/>
      <c r="AM451" s="5"/>
      <c r="AN451" s="5"/>
    </row>
    <row r="452" spans="1:40" ht="12.75" x14ac:dyDescent="0.3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8"/>
      <c r="AE452" s="5"/>
      <c r="AF452" s="8"/>
      <c r="AG452" s="4"/>
      <c r="AH452" s="5"/>
      <c r="AI452" s="5"/>
      <c r="AJ452" s="5"/>
      <c r="AK452" s="5"/>
      <c r="AL452" s="5"/>
      <c r="AM452" s="5"/>
      <c r="AN452" s="5"/>
    </row>
    <row r="453" spans="1:40" ht="12.75" x14ac:dyDescent="0.3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8"/>
      <c r="AE453" s="5"/>
      <c r="AF453" s="8"/>
      <c r="AG453" s="4"/>
      <c r="AH453" s="5"/>
      <c r="AI453" s="5"/>
      <c r="AJ453" s="5"/>
      <c r="AK453" s="5"/>
      <c r="AL453" s="5"/>
      <c r="AM453" s="5"/>
      <c r="AN453" s="5"/>
    </row>
    <row r="454" spans="1:40" ht="12.75" x14ac:dyDescent="0.3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8"/>
      <c r="AE454" s="5"/>
      <c r="AF454" s="8"/>
      <c r="AG454" s="4"/>
      <c r="AH454" s="5"/>
      <c r="AI454" s="5"/>
      <c r="AJ454" s="5"/>
      <c r="AK454" s="5"/>
      <c r="AL454" s="5"/>
      <c r="AM454" s="5"/>
      <c r="AN454" s="5"/>
    </row>
    <row r="455" spans="1:40" ht="12.75" x14ac:dyDescent="0.3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8"/>
      <c r="AE455" s="5"/>
      <c r="AF455" s="8"/>
      <c r="AG455" s="4"/>
      <c r="AH455" s="5"/>
      <c r="AI455" s="5"/>
      <c r="AJ455" s="5"/>
      <c r="AK455" s="5"/>
      <c r="AL455" s="5"/>
      <c r="AM455" s="5"/>
      <c r="AN455" s="5"/>
    </row>
    <row r="456" spans="1:40" ht="12.75" x14ac:dyDescent="0.3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8"/>
      <c r="AE456" s="5"/>
      <c r="AF456" s="8"/>
      <c r="AG456" s="4"/>
      <c r="AH456" s="5"/>
      <c r="AI456" s="5"/>
      <c r="AJ456" s="5"/>
      <c r="AK456" s="5"/>
      <c r="AL456" s="5"/>
      <c r="AM456" s="5"/>
      <c r="AN456" s="5"/>
    </row>
    <row r="457" spans="1:40" ht="12.75" x14ac:dyDescent="0.3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8"/>
      <c r="AE457" s="5"/>
      <c r="AF457" s="8"/>
      <c r="AG457" s="4"/>
      <c r="AH457" s="5"/>
      <c r="AI457" s="5"/>
      <c r="AJ457" s="5"/>
      <c r="AK457" s="5"/>
      <c r="AL457" s="5"/>
      <c r="AM457" s="5"/>
      <c r="AN457" s="5"/>
    </row>
    <row r="458" spans="1:40" ht="12.75" x14ac:dyDescent="0.3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8"/>
      <c r="AE458" s="5"/>
      <c r="AF458" s="8"/>
      <c r="AG458" s="4"/>
      <c r="AH458" s="5"/>
      <c r="AI458" s="5"/>
      <c r="AJ458" s="5"/>
      <c r="AK458" s="5"/>
      <c r="AL458" s="5"/>
      <c r="AM458" s="5"/>
      <c r="AN458" s="5"/>
    </row>
    <row r="459" spans="1:40" ht="12.75" x14ac:dyDescent="0.3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8"/>
      <c r="AE459" s="5"/>
      <c r="AF459" s="8"/>
      <c r="AG459" s="4"/>
      <c r="AH459" s="5"/>
      <c r="AI459" s="5"/>
      <c r="AJ459" s="5"/>
      <c r="AK459" s="5"/>
      <c r="AL459" s="5"/>
      <c r="AM459" s="5"/>
      <c r="AN459" s="5"/>
    </row>
    <row r="460" spans="1:40" ht="12.75" x14ac:dyDescent="0.3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8"/>
      <c r="AE460" s="5"/>
      <c r="AF460" s="8"/>
      <c r="AG460" s="4"/>
      <c r="AH460" s="5"/>
      <c r="AI460" s="5"/>
      <c r="AJ460" s="5"/>
      <c r="AK460" s="5"/>
      <c r="AL460" s="5"/>
      <c r="AM460" s="5"/>
      <c r="AN460" s="5"/>
    </row>
    <row r="461" spans="1:40" ht="12.75" x14ac:dyDescent="0.3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8"/>
      <c r="AE461" s="5"/>
      <c r="AF461" s="8"/>
      <c r="AG461" s="4"/>
      <c r="AH461" s="5"/>
      <c r="AI461" s="5"/>
      <c r="AJ461" s="5"/>
      <c r="AK461" s="5"/>
      <c r="AL461" s="5"/>
      <c r="AM461" s="5"/>
      <c r="AN461" s="5"/>
    </row>
    <row r="462" spans="1:40" ht="12.75" x14ac:dyDescent="0.3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8"/>
      <c r="AE462" s="5"/>
      <c r="AF462" s="8"/>
      <c r="AG462" s="4"/>
      <c r="AH462" s="5"/>
      <c r="AI462" s="5"/>
      <c r="AJ462" s="5"/>
      <c r="AK462" s="5"/>
      <c r="AL462" s="5"/>
      <c r="AM462" s="5"/>
      <c r="AN462" s="5"/>
    </row>
    <row r="463" spans="1:40" ht="12.75" x14ac:dyDescent="0.3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8"/>
      <c r="AE463" s="5"/>
      <c r="AF463" s="8"/>
      <c r="AG463" s="4"/>
      <c r="AH463" s="5"/>
      <c r="AI463" s="5"/>
      <c r="AJ463" s="5"/>
      <c r="AK463" s="5"/>
      <c r="AL463" s="5"/>
      <c r="AM463" s="5"/>
      <c r="AN463" s="5"/>
    </row>
    <row r="464" spans="1:40" ht="12.75" x14ac:dyDescent="0.3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8"/>
      <c r="AE464" s="5"/>
      <c r="AF464" s="8"/>
      <c r="AG464" s="4"/>
      <c r="AH464" s="5"/>
      <c r="AI464" s="5"/>
      <c r="AJ464" s="5"/>
      <c r="AK464" s="5"/>
      <c r="AL464" s="5"/>
      <c r="AM464" s="5"/>
      <c r="AN464" s="5"/>
    </row>
    <row r="465" spans="1:40" ht="12.75" x14ac:dyDescent="0.3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8"/>
      <c r="AE465" s="5"/>
      <c r="AF465" s="8"/>
      <c r="AG465" s="4"/>
      <c r="AH465" s="5"/>
      <c r="AI465" s="5"/>
      <c r="AJ465" s="5"/>
      <c r="AK465" s="5"/>
      <c r="AL465" s="5"/>
      <c r="AM465" s="5"/>
      <c r="AN465" s="5"/>
    </row>
    <row r="466" spans="1:40" ht="12.75" x14ac:dyDescent="0.3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8"/>
      <c r="AE466" s="5"/>
      <c r="AF466" s="8"/>
      <c r="AG466" s="4"/>
      <c r="AH466" s="5"/>
      <c r="AI466" s="5"/>
      <c r="AJ466" s="5"/>
      <c r="AK466" s="5"/>
      <c r="AL466" s="5"/>
      <c r="AM466" s="5"/>
      <c r="AN466" s="5"/>
    </row>
    <row r="467" spans="1:40" ht="12.75" x14ac:dyDescent="0.3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8"/>
      <c r="AE467" s="5"/>
      <c r="AF467" s="8"/>
      <c r="AG467" s="4"/>
      <c r="AH467" s="5"/>
      <c r="AI467" s="5"/>
      <c r="AJ467" s="5"/>
      <c r="AK467" s="5"/>
      <c r="AL467" s="5"/>
      <c r="AM467" s="5"/>
      <c r="AN467" s="5"/>
    </row>
    <row r="468" spans="1:40" ht="12.75" x14ac:dyDescent="0.3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8"/>
      <c r="AE468" s="5"/>
      <c r="AF468" s="8"/>
      <c r="AG468" s="4"/>
      <c r="AH468" s="5"/>
      <c r="AI468" s="5"/>
      <c r="AJ468" s="5"/>
      <c r="AK468" s="5"/>
      <c r="AL468" s="5"/>
      <c r="AM468" s="5"/>
      <c r="AN468" s="5"/>
    </row>
    <row r="469" spans="1:40" ht="12.75" x14ac:dyDescent="0.3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8"/>
      <c r="AE469" s="5"/>
      <c r="AF469" s="8"/>
      <c r="AG469" s="4"/>
      <c r="AH469" s="5"/>
      <c r="AI469" s="5"/>
      <c r="AJ469" s="5"/>
      <c r="AK469" s="5"/>
      <c r="AL469" s="5"/>
      <c r="AM469" s="5"/>
      <c r="AN469" s="5"/>
    </row>
    <row r="470" spans="1:40" ht="12.75" x14ac:dyDescent="0.3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8"/>
      <c r="AE470" s="5"/>
      <c r="AF470" s="8"/>
      <c r="AG470" s="4"/>
      <c r="AH470" s="5"/>
      <c r="AI470" s="5"/>
      <c r="AJ470" s="5"/>
      <c r="AK470" s="5"/>
      <c r="AL470" s="5"/>
      <c r="AM470" s="5"/>
      <c r="AN470" s="5"/>
    </row>
    <row r="471" spans="1:40" ht="12.75" x14ac:dyDescent="0.3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8"/>
      <c r="AE471" s="5"/>
      <c r="AF471" s="8"/>
      <c r="AG471" s="4"/>
      <c r="AH471" s="5"/>
      <c r="AI471" s="5"/>
      <c r="AJ471" s="5"/>
      <c r="AK471" s="5"/>
      <c r="AL471" s="5"/>
      <c r="AM471" s="5"/>
      <c r="AN471" s="5"/>
    </row>
    <row r="472" spans="1:40" ht="12.75" x14ac:dyDescent="0.3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8"/>
      <c r="AE472" s="5"/>
      <c r="AF472" s="8"/>
      <c r="AG472" s="4"/>
      <c r="AH472" s="5"/>
      <c r="AI472" s="5"/>
      <c r="AJ472" s="5"/>
      <c r="AK472" s="5"/>
      <c r="AL472" s="5"/>
      <c r="AM472" s="5"/>
      <c r="AN472" s="5"/>
    </row>
    <row r="473" spans="1:40" ht="12.75" x14ac:dyDescent="0.3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8"/>
      <c r="AE473" s="5"/>
      <c r="AF473" s="8"/>
      <c r="AG473" s="4"/>
      <c r="AH473" s="5"/>
      <c r="AI473" s="5"/>
      <c r="AJ473" s="5"/>
      <c r="AK473" s="5"/>
      <c r="AL473" s="5"/>
      <c r="AM473" s="5"/>
      <c r="AN473" s="5"/>
    </row>
    <row r="474" spans="1:40" ht="12.75" x14ac:dyDescent="0.3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8"/>
      <c r="AE474" s="5"/>
      <c r="AF474" s="8"/>
      <c r="AG474" s="4"/>
      <c r="AH474" s="5"/>
      <c r="AI474" s="5"/>
      <c r="AJ474" s="5"/>
      <c r="AK474" s="5"/>
      <c r="AL474" s="5"/>
      <c r="AM474" s="5"/>
      <c r="AN474" s="5"/>
    </row>
    <row r="475" spans="1:40" ht="12.75" x14ac:dyDescent="0.3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8"/>
      <c r="AE475" s="5"/>
      <c r="AF475" s="8"/>
      <c r="AG475" s="4"/>
      <c r="AH475" s="5"/>
      <c r="AI475" s="5"/>
      <c r="AJ475" s="5"/>
      <c r="AK475" s="5"/>
      <c r="AL475" s="5"/>
      <c r="AM475" s="5"/>
      <c r="AN475" s="5"/>
    </row>
    <row r="476" spans="1:40" ht="12.75" x14ac:dyDescent="0.3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8"/>
      <c r="AE476" s="5"/>
      <c r="AF476" s="8"/>
      <c r="AG476" s="4"/>
      <c r="AH476" s="5"/>
      <c r="AI476" s="5"/>
      <c r="AJ476" s="5"/>
      <c r="AK476" s="5"/>
      <c r="AL476" s="5"/>
      <c r="AM476" s="5"/>
      <c r="AN476" s="5"/>
    </row>
    <row r="477" spans="1:40" ht="12.75" x14ac:dyDescent="0.3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8"/>
      <c r="AE477" s="5"/>
      <c r="AF477" s="8"/>
      <c r="AG477" s="4"/>
      <c r="AH477" s="5"/>
      <c r="AI477" s="5"/>
      <c r="AJ477" s="5"/>
      <c r="AK477" s="5"/>
      <c r="AL477" s="5"/>
      <c r="AM477" s="5"/>
      <c r="AN477" s="5"/>
    </row>
    <row r="478" spans="1:40" ht="12.75" x14ac:dyDescent="0.3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8"/>
      <c r="AE478" s="5"/>
      <c r="AF478" s="8"/>
      <c r="AG478" s="4"/>
      <c r="AH478" s="5"/>
      <c r="AI478" s="5"/>
      <c r="AJ478" s="5"/>
      <c r="AK478" s="5"/>
      <c r="AL478" s="5"/>
      <c r="AM478" s="5"/>
      <c r="AN478" s="5"/>
    </row>
    <row r="479" spans="1:40" ht="12.75" x14ac:dyDescent="0.3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8"/>
      <c r="AE479" s="5"/>
      <c r="AF479" s="8"/>
      <c r="AG479" s="4"/>
      <c r="AH479" s="5"/>
      <c r="AI479" s="5"/>
      <c r="AJ479" s="5"/>
      <c r="AK479" s="5"/>
      <c r="AL479" s="5"/>
      <c r="AM479" s="5"/>
      <c r="AN479" s="5"/>
    </row>
    <row r="480" spans="1:40" ht="12.75" x14ac:dyDescent="0.3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8"/>
      <c r="AE480" s="5"/>
      <c r="AF480" s="8"/>
      <c r="AG480" s="4"/>
      <c r="AH480" s="5"/>
      <c r="AI480" s="5"/>
      <c r="AJ480" s="5"/>
      <c r="AK480" s="5"/>
      <c r="AL480" s="5"/>
      <c r="AM480" s="5"/>
      <c r="AN480" s="5"/>
    </row>
    <row r="481" spans="1:40" ht="12.75" x14ac:dyDescent="0.3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8"/>
      <c r="AE481" s="5"/>
      <c r="AF481" s="8"/>
      <c r="AG481" s="4"/>
      <c r="AH481" s="5"/>
      <c r="AI481" s="5"/>
      <c r="AJ481" s="5"/>
      <c r="AK481" s="5"/>
      <c r="AL481" s="5"/>
      <c r="AM481" s="5"/>
      <c r="AN481" s="5"/>
    </row>
    <row r="482" spans="1:40" ht="12.75" x14ac:dyDescent="0.3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8"/>
      <c r="AE482" s="5"/>
      <c r="AF482" s="8"/>
      <c r="AG482" s="4"/>
      <c r="AH482" s="5"/>
      <c r="AI482" s="5"/>
      <c r="AJ482" s="5"/>
      <c r="AK482" s="5"/>
      <c r="AL482" s="5"/>
      <c r="AM482" s="5"/>
      <c r="AN482" s="5"/>
    </row>
    <row r="483" spans="1:40" ht="12.75" x14ac:dyDescent="0.3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8"/>
      <c r="AE483" s="5"/>
      <c r="AF483" s="8"/>
      <c r="AG483" s="4"/>
      <c r="AH483" s="5"/>
      <c r="AI483" s="5"/>
      <c r="AJ483" s="5"/>
      <c r="AK483" s="5"/>
      <c r="AL483" s="5"/>
      <c r="AM483" s="5"/>
      <c r="AN483" s="5"/>
    </row>
    <row r="484" spans="1:40" ht="12.75" x14ac:dyDescent="0.3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8"/>
      <c r="AE484" s="5"/>
      <c r="AF484" s="8"/>
      <c r="AG484" s="4"/>
      <c r="AH484" s="5"/>
      <c r="AI484" s="5"/>
      <c r="AJ484" s="5"/>
      <c r="AK484" s="5"/>
      <c r="AL484" s="5"/>
      <c r="AM484" s="5"/>
      <c r="AN484" s="5"/>
    </row>
    <row r="485" spans="1:40" ht="12.75" x14ac:dyDescent="0.3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8"/>
      <c r="AE485" s="5"/>
      <c r="AF485" s="8"/>
      <c r="AG485" s="4"/>
      <c r="AH485" s="5"/>
      <c r="AI485" s="5"/>
      <c r="AJ485" s="5"/>
      <c r="AK485" s="5"/>
      <c r="AL485" s="5"/>
      <c r="AM485" s="5"/>
      <c r="AN485" s="5"/>
    </row>
    <row r="486" spans="1:40" ht="12.75" x14ac:dyDescent="0.3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8"/>
      <c r="AE486" s="5"/>
      <c r="AF486" s="8"/>
      <c r="AG486" s="4"/>
      <c r="AH486" s="5"/>
      <c r="AI486" s="5"/>
      <c r="AJ486" s="5"/>
      <c r="AK486" s="5"/>
      <c r="AL486" s="5"/>
      <c r="AM486" s="5"/>
      <c r="AN486" s="5"/>
    </row>
    <row r="487" spans="1:40" ht="12.75" x14ac:dyDescent="0.3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8"/>
      <c r="AE487" s="5"/>
      <c r="AF487" s="8"/>
      <c r="AG487" s="4"/>
      <c r="AH487" s="5"/>
      <c r="AI487" s="5"/>
      <c r="AJ487" s="5"/>
      <c r="AK487" s="5"/>
      <c r="AL487" s="5"/>
      <c r="AM487" s="5"/>
      <c r="AN487" s="5"/>
    </row>
    <row r="488" spans="1:40" ht="12.75" x14ac:dyDescent="0.3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8"/>
      <c r="AE488" s="5"/>
      <c r="AF488" s="8"/>
      <c r="AG488" s="4"/>
      <c r="AH488" s="5"/>
      <c r="AI488" s="5"/>
      <c r="AJ488" s="5"/>
      <c r="AK488" s="5"/>
      <c r="AL488" s="5"/>
      <c r="AM488" s="5"/>
      <c r="AN488" s="5"/>
    </row>
    <row r="489" spans="1:40" ht="12.75" x14ac:dyDescent="0.3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8"/>
      <c r="AE489" s="5"/>
      <c r="AF489" s="8"/>
      <c r="AG489" s="4"/>
      <c r="AH489" s="5"/>
      <c r="AI489" s="5"/>
      <c r="AJ489" s="5"/>
      <c r="AK489" s="5"/>
      <c r="AL489" s="5"/>
      <c r="AM489" s="5"/>
      <c r="AN489" s="5"/>
    </row>
    <row r="490" spans="1:40" ht="12.75" x14ac:dyDescent="0.3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8"/>
      <c r="AE490" s="5"/>
      <c r="AF490" s="8"/>
      <c r="AG490" s="4"/>
      <c r="AH490" s="5"/>
      <c r="AI490" s="5"/>
      <c r="AJ490" s="5"/>
      <c r="AK490" s="5"/>
      <c r="AL490" s="5"/>
      <c r="AM490" s="5"/>
      <c r="AN490" s="5"/>
    </row>
    <row r="491" spans="1:40" ht="12.75" x14ac:dyDescent="0.3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8"/>
      <c r="AE491" s="5"/>
      <c r="AF491" s="8"/>
      <c r="AG491" s="4"/>
      <c r="AH491" s="5"/>
      <c r="AI491" s="5"/>
      <c r="AJ491" s="5"/>
      <c r="AK491" s="5"/>
      <c r="AL491" s="5"/>
      <c r="AM491" s="5"/>
      <c r="AN491" s="5"/>
    </row>
    <row r="492" spans="1:40" ht="12.75" x14ac:dyDescent="0.3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8"/>
      <c r="AE492" s="5"/>
      <c r="AF492" s="8"/>
      <c r="AG492" s="4"/>
      <c r="AH492" s="5"/>
      <c r="AI492" s="5"/>
      <c r="AJ492" s="5"/>
      <c r="AK492" s="5"/>
      <c r="AL492" s="5"/>
      <c r="AM492" s="5"/>
      <c r="AN492" s="5"/>
    </row>
    <row r="493" spans="1:40" ht="12.75" x14ac:dyDescent="0.3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8"/>
      <c r="AE493" s="5"/>
      <c r="AF493" s="8"/>
      <c r="AG493" s="4"/>
      <c r="AH493" s="5"/>
      <c r="AI493" s="5"/>
      <c r="AJ493" s="5"/>
      <c r="AK493" s="5"/>
      <c r="AL493" s="5"/>
      <c r="AM493" s="5"/>
      <c r="AN493" s="5"/>
    </row>
    <row r="494" spans="1:40" ht="12.75" x14ac:dyDescent="0.3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8"/>
      <c r="AE494" s="5"/>
      <c r="AF494" s="8"/>
      <c r="AG494" s="4"/>
      <c r="AH494" s="5"/>
      <c r="AI494" s="5"/>
      <c r="AJ494" s="5"/>
      <c r="AK494" s="5"/>
      <c r="AL494" s="5"/>
      <c r="AM494" s="5"/>
      <c r="AN494" s="5"/>
    </row>
    <row r="495" spans="1:40" ht="12.75" x14ac:dyDescent="0.3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8"/>
      <c r="AE495" s="5"/>
      <c r="AF495" s="8"/>
      <c r="AG495" s="4"/>
      <c r="AH495" s="5"/>
      <c r="AI495" s="5"/>
      <c r="AJ495" s="5"/>
      <c r="AK495" s="5"/>
      <c r="AL495" s="5"/>
      <c r="AM495" s="5"/>
      <c r="AN495" s="5"/>
    </row>
    <row r="496" spans="1:40" ht="12.75" x14ac:dyDescent="0.3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8"/>
      <c r="AE496" s="5"/>
      <c r="AF496" s="8"/>
      <c r="AG496" s="4"/>
      <c r="AH496" s="5"/>
      <c r="AI496" s="5"/>
      <c r="AJ496" s="5"/>
      <c r="AK496" s="5"/>
      <c r="AL496" s="5"/>
      <c r="AM496" s="5"/>
      <c r="AN496" s="5"/>
    </row>
    <row r="497" spans="1:40" ht="12.75" x14ac:dyDescent="0.3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8"/>
      <c r="AE497" s="5"/>
      <c r="AF497" s="8"/>
      <c r="AG497" s="4"/>
      <c r="AH497" s="5"/>
      <c r="AI497" s="5"/>
      <c r="AJ497" s="5"/>
      <c r="AK497" s="5"/>
      <c r="AL497" s="5"/>
      <c r="AM497" s="5"/>
      <c r="AN497" s="5"/>
    </row>
    <row r="498" spans="1:40" ht="12.75" x14ac:dyDescent="0.3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8"/>
      <c r="AE498" s="5"/>
      <c r="AF498" s="8"/>
      <c r="AG498" s="4"/>
      <c r="AH498" s="5"/>
      <c r="AI498" s="5"/>
      <c r="AJ498" s="5"/>
      <c r="AK498" s="5"/>
      <c r="AL498" s="5"/>
      <c r="AM498" s="5"/>
      <c r="AN498" s="5"/>
    </row>
    <row r="499" spans="1:40" ht="12.75" x14ac:dyDescent="0.3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8"/>
      <c r="AE499" s="5"/>
      <c r="AF499" s="8"/>
      <c r="AG499" s="4"/>
      <c r="AH499" s="5"/>
      <c r="AI499" s="5"/>
      <c r="AJ499" s="5"/>
      <c r="AK499" s="5"/>
      <c r="AL499" s="5"/>
      <c r="AM499" s="5"/>
      <c r="AN499" s="5"/>
    </row>
    <row r="500" spans="1:40" ht="12.75" x14ac:dyDescent="0.3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8"/>
      <c r="AE500" s="5"/>
      <c r="AF500" s="8"/>
      <c r="AG500" s="4"/>
      <c r="AH500" s="5"/>
      <c r="AI500" s="5"/>
      <c r="AJ500" s="5"/>
      <c r="AK500" s="5"/>
      <c r="AL500" s="5"/>
      <c r="AM500" s="5"/>
      <c r="AN500" s="5"/>
    </row>
    <row r="501" spans="1:40" ht="12.75" x14ac:dyDescent="0.3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8"/>
      <c r="AE501" s="5"/>
      <c r="AF501" s="8"/>
      <c r="AG501" s="4"/>
      <c r="AH501" s="5"/>
      <c r="AI501" s="5"/>
      <c r="AJ501" s="5"/>
      <c r="AK501" s="5"/>
      <c r="AL501" s="5"/>
      <c r="AM501" s="5"/>
      <c r="AN501" s="5"/>
    </row>
    <row r="502" spans="1:40" ht="12.75" x14ac:dyDescent="0.3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8"/>
      <c r="AE502" s="5"/>
      <c r="AF502" s="8"/>
      <c r="AG502" s="4"/>
      <c r="AH502" s="5"/>
      <c r="AI502" s="5"/>
      <c r="AJ502" s="5"/>
      <c r="AK502" s="5"/>
      <c r="AL502" s="5"/>
      <c r="AM502" s="5"/>
      <c r="AN502" s="5"/>
    </row>
    <row r="503" spans="1:40" ht="12.75" x14ac:dyDescent="0.3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8"/>
      <c r="AE503" s="5"/>
      <c r="AF503" s="8"/>
      <c r="AG503" s="4"/>
      <c r="AH503" s="5"/>
      <c r="AI503" s="5"/>
      <c r="AJ503" s="5"/>
      <c r="AK503" s="5"/>
      <c r="AL503" s="5"/>
      <c r="AM503" s="5"/>
      <c r="AN503" s="5"/>
    </row>
    <row r="504" spans="1:40" ht="12.75" x14ac:dyDescent="0.3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8"/>
      <c r="AE504" s="5"/>
      <c r="AF504" s="8"/>
      <c r="AG504" s="4"/>
      <c r="AH504" s="5"/>
      <c r="AI504" s="5"/>
      <c r="AJ504" s="5"/>
      <c r="AK504" s="5"/>
      <c r="AL504" s="5"/>
      <c r="AM504" s="5"/>
      <c r="AN504" s="5"/>
    </row>
    <row r="505" spans="1:40" ht="12.75" x14ac:dyDescent="0.3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8"/>
      <c r="AE505" s="5"/>
      <c r="AF505" s="8"/>
      <c r="AG505" s="4"/>
      <c r="AH505" s="5"/>
      <c r="AI505" s="5"/>
      <c r="AJ505" s="5"/>
      <c r="AK505" s="5"/>
      <c r="AL505" s="5"/>
      <c r="AM505" s="5"/>
      <c r="AN505" s="5"/>
    </row>
    <row r="506" spans="1:40" ht="12.75" x14ac:dyDescent="0.3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8"/>
      <c r="AE506" s="5"/>
      <c r="AF506" s="8"/>
      <c r="AG506" s="4"/>
      <c r="AH506" s="5"/>
      <c r="AI506" s="5"/>
      <c r="AJ506" s="5"/>
      <c r="AK506" s="5"/>
      <c r="AL506" s="5"/>
      <c r="AM506" s="5"/>
      <c r="AN506" s="5"/>
    </row>
    <row r="507" spans="1:40" ht="12.75" x14ac:dyDescent="0.3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8"/>
      <c r="AE507" s="5"/>
      <c r="AF507" s="8"/>
      <c r="AG507" s="4"/>
      <c r="AH507" s="5"/>
      <c r="AI507" s="5"/>
      <c r="AJ507" s="5"/>
      <c r="AK507" s="5"/>
      <c r="AL507" s="5"/>
      <c r="AM507" s="5"/>
      <c r="AN507" s="5"/>
    </row>
    <row r="508" spans="1:40" ht="12.75" x14ac:dyDescent="0.3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8"/>
      <c r="AE508" s="5"/>
      <c r="AF508" s="8"/>
      <c r="AG508" s="4"/>
      <c r="AH508" s="5"/>
      <c r="AI508" s="5"/>
      <c r="AJ508" s="5"/>
      <c r="AK508" s="5"/>
      <c r="AL508" s="5"/>
      <c r="AM508" s="5"/>
      <c r="AN508" s="5"/>
    </row>
    <row r="509" spans="1:40" ht="12.75" x14ac:dyDescent="0.3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8"/>
      <c r="AE509" s="5"/>
      <c r="AF509" s="8"/>
      <c r="AG509" s="4"/>
      <c r="AH509" s="5"/>
      <c r="AI509" s="5"/>
      <c r="AJ509" s="5"/>
      <c r="AK509" s="5"/>
      <c r="AL509" s="5"/>
      <c r="AM509" s="5"/>
      <c r="AN509" s="5"/>
    </row>
    <row r="510" spans="1:40" ht="12.75" x14ac:dyDescent="0.3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8"/>
      <c r="AE510" s="5"/>
      <c r="AF510" s="8"/>
      <c r="AG510" s="4"/>
      <c r="AH510" s="5"/>
      <c r="AI510" s="5"/>
      <c r="AJ510" s="5"/>
      <c r="AK510" s="5"/>
      <c r="AL510" s="5"/>
      <c r="AM510" s="5"/>
      <c r="AN510" s="5"/>
    </row>
    <row r="511" spans="1:40" ht="12.75" x14ac:dyDescent="0.3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8"/>
      <c r="AE511" s="5"/>
      <c r="AF511" s="8"/>
      <c r="AG511" s="4"/>
      <c r="AH511" s="5"/>
      <c r="AI511" s="5"/>
      <c r="AJ511" s="5"/>
      <c r="AK511" s="5"/>
      <c r="AL511" s="5"/>
      <c r="AM511" s="5"/>
      <c r="AN511" s="5"/>
    </row>
    <row r="512" spans="1:40" ht="12.75" x14ac:dyDescent="0.3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8"/>
      <c r="AE512" s="5"/>
      <c r="AF512" s="8"/>
      <c r="AG512" s="4"/>
      <c r="AH512" s="5"/>
      <c r="AI512" s="5"/>
      <c r="AJ512" s="5"/>
      <c r="AK512" s="5"/>
      <c r="AL512" s="5"/>
      <c r="AM512" s="5"/>
      <c r="AN512" s="5"/>
    </row>
    <row r="513" spans="1:40" ht="12.75" x14ac:dyDescent="0.3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8"/>
      <c r="AE513" s="5"/>
      <c r="AF513" s="8"/>
      <c r="AG513" s="4"/>
      <c r="AH513" s="5"/>
      <c r="AI513" s="5"/>
      <c r="AJ513" s="5"/>
      <c r="AK513" s="5"/>
      <c r="AL513" s="5"/>
      <c r="AM513" s="5"/>
      <c r="AN513" s="5"/>
    </row>
    <row r="514" spans="1:40" ht="12.75" x14ac:dyDescent="0.3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8"/>
      <c r="AE514" s="5"/>
      <c r="AF514" s="8"/>
      <c r="AG514" s="4"/>
      <c r="AH514" s="5"/>
      <c r="AI514" s="5"/>
      <c r="AJ514" s="5"/>
      <c r="AK514" s="5"/>
      <c r="AL514" s="5"/>
      <c r="AM514" s="5"/>
      <c r="AN514" s="5"/>
    </row>
    <row r="515" spans="1:40" ht="12.75" x14ac:dyDescent="0.3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8"/>
      <c r="AE515" s="5"/>
      <c r="AF515" s="8"/>
      <c r="AG515" s="4"/>
      <c r="AH515" s="5"/>
      <c r="AI515" s="5"/>
      <c r="AJ515" s="5"/>
      <c r="AK515" s="5"/>
      <c r="AL515" s="5"/>
      <c r="AM515" s="5"/>
      <c r="AN515" s="5"/>
    </row>
    <row r="516" spans="1:40" ht="12.75" x14ac:dyDescent="0.3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8"/>
      <c r="AE516" s="5"/>
      <c r="AF516" s="8"/>
      <c r="AG516" s="4"/>
      <c r="AH516" s="5"/>
      <c r="AI516" s="5"/>
      <c r="AJ516" s="5"/>
      <c r="AK516" s="5"/>
      <c r="AL516" s="5"/>
      <c r="AM516" s="5"/>
      <c r="AN516" s="5"/>
    </row>
    <row r="517" spans="1:40" ht="12.75" x14ac:dyDescent="0.3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8"/>
      <c r="AE517" s="5"/>
      <c r="AF517" s="8"/>
      <c r="AG517" s="4"/>
      <c r="AH517" s="5"/>
      <c r="AI517" s="5"/>
      <c r="AJ517" s="5"/>
      <c r="AK517" s="5"/>
      <c r="AL517" s="5"/>
      <c r="AM517" s="5"/>
      <c r="AN517" s="5"/>
    </row>
    <row r="518" spans="1:40" ht="12.75" x14ac:dyDescent="0.3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8"/>
      <c r="AE518" s="5"/>
      <c r="AF518" s="8"/>
      <c r="AG518" s="4"/>
      <c r="AH518" s="5"/>
      <c r="AI518" s="5"/>
      <c r="AJ518" s="5"/>
      <c r="AK518" s="5"/>
      <c r="AL518" s="5"/>
      <c r="AM518" s="5"/>
      <c r="AN518" s="5"/>
    </row>
    <row r="519" spans="1:40" ht="12.75" x14ac:dyDescent="0.3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8"/>
      <c r="AE519" s="5"/>
      <c r="AF519" s="8"/>
      <c r="AG519" s="4"/>
      <c r="AH519" s="5"/>
      <c r="AI519" s="5"/>
      <c r="AJ519" s="5"/>
      <c r="AK519" s="5"/>
      <c r="AL519" s="5"/>
      <c r="AM519" s="5"/>
      <c r="AN519" s="5"/>
    </row>
    <row r="520" spans="1:40" ht="12.75" x14ac:dyDescent="0.3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8"/>
      <c r="AE520" s="5"/>
      <c r="AF520" s="8"/>
      <c r="AG520" s="4"/>
      <c r="AH520" s="5"/>
      <c r="AI520" s="5"/>
      <c r="AJ520" s="5"/>
      <c r="AK520" s="5"/>
      <c r="AL520" s="5"/>
      <c r="AM520" s="5"/>
      <c r="AN520" s="5"/>
    </row>
    <row r="521" spans="1:40" ht="12.75" x14ac:dyDescent="0.3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8"/>
      <c r="AE521" s="5"/>
      <c r="AF521" s="8"/>
      <c r="AG521" s="4"/>
      <c r="AH521" s="5"/>
      <c r="AI521" s="5"/>
      <c r="AJ521" s="5"/>
      <c r="AK521" s="5"/>
      <c r="AL521" s="5"/>
      <c r="AM521" s="5"/>
      <c r="AN521" s="5"/>
    </row>
    <row r="522" spans="1:40" ht="12.75" x14ac:dyDescent="0.3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8"/>
      <c r="AE522" s="5"/>
      <c r="AF522" s="8"/>
      <c r="AG522" s="4"/>
      <c r="AH522" s="5"/>
      <c r="AI522" s="5"/>
      <c r="AJ522" s="5"/>
      <c r="AK522" s="5"/>
      <c r="AL522" s="5"/>
      <c r="AM522" s="5"/>
      <c r="AN522" s="5"/>
    </row>
    <row r="523" spans="1:40" ht="12.75" x14ac:dyDescent="0.3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8"/>
      <c r="AE523" s="5"/>
      <c r="AF523" s="8"/>
      <c r="AG523" s="4"/>
      <c r="AH523" s="5"/>
      <c r="AI523" s="5"/>
      <c r="AJ523" s="5"/>
      <c r="AK523" s="5"/>
      <c r="AL523" s="5"/>
      <c r="AM523" s="5"/>
      <c r="AN523" s="5"/>
    </row>
    <row r="524" spans="1:40" ht="12.75" x14ac:dyDescent="0.3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8"/>
      <c r="AE524" s="5"/>
      <c r="AF524" s="8"/>
      <c r="AG524" s="4"/>
      <c r="AH524" s="5"/>
      <c r="AI524" s="5"/>
      <c r="AJ524" s="5"/>
      <c r="AK524" s="5"/>
      <c r="AL524" s="5"/>
      <c r="AM524" s="5"/>
      <c r="AN524" s="5"/>
    </row>
    <row r="525" spans="1:40" ht="12.75" x14ac:dyDescent="0.3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8"/>
      <c r="AE525" s="5"/>
      <c r="AF525" s="8"/>
      <c r="AG525" s="4"/>
      <c r="AH525" s="5"/>
      <c r="AI525" s="5"/>
      <c r="AJ525" s="5"/>
      <c r="AK525" s="5"/>
      <c r="AL525" s="5"/>
      <c r="AM525" s="5"/>
      <c r="AN525" s="5"/>
    </row>
    <row r="526" spans="1:40" ht="12.75" x14ac:dyDescent="0.3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8"/>
      <c r="AE526" s="5"/>
      <c r="AF526" s="8"/>
      <c r="AG526" s="4"/>
      <c r="AH526" s="5"/>
      <c r="AI526" s="5"/>
      <c r="AJ526" s="5"/>
      <c r="AK526" s="5"/>
      <c r="AL526" s="5"/>
      <c r="AM526" s="5"/>
      <c r="AN526" s="5"/>
    </row>
    <row r="527" spans="1:40" ht="12.75" x14ac:dyDescent="0.3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8"/>
      <c r="AE527" s="5"/>
      <c r="AF527" s="8"/>
      <c r="AG527" s="4"/>
      <c r="AH527" s="5"/>
      <c r="AI527" s="5"/>
      <c r="AJ527" s="5"/>
      <c r="AK527" s="5"/>
      <c r="AL527" s="5"/>
      <c r="AM527" s="5"/>
      <c r="AN527" s="5"/>
    </row>
    <row r="528" spans="1:40" ht="12.75" x14ac:dyDescent="0.3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8"/>
      <c r="AE528" s="5"/>
      <c r="AF528" s="8"/>
      <c r="AG528" s="4"/>
      <c r="AH528" s="5"/>
      <c r="AI528" s="5"/>
      <c r="AJ528" s="5"/>
      <c r="AK528" s="5"/>
      <c r="AL528" s="5"/>
      <c r="AM528" s="5"/>
      <c r="AN528" s="5"/>
    </row>
    <row r="529" spans="1:40" ht="12.75" x14ac:dyDescent="0.3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8"/>
      <c r="AE529" s="5"/>
      <c r="AF529" s="8"/>
      <c r="AG529" s="4"/>
      <c r="AH529" s="5"/>
      <c r="AI529" s="5"/>
      <c r="AJ529" s="5"/>
      <c r="AK529" s="5"/>
      <c r="AL529" s="5"/>
      <c r="AM529" s="5"/>
      <c r="AN529" s="5"/>
    </row>
    <row r="530" spans="1:40" ht="12.75" x14ac:dyDescent="0.3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8"/>
      <c r="AE530" s="5"/>
      <c r="AF530" s="8"/>
      <c r="AG530" s="4"/>
      <c r="AH530" s="5"/>
      <c r="AI530" s="5"/>
      <c r="AJ530" s="5"/>
      <c r="AK530" s="5"/>
      <c r="AL530" s="5"/>
      <c r="AM530" s="5"/>
      <c r="AN530" s="5"/>
    </row>
    <row r="531" spans="1:40" ht="12.75" x14ac:dyDescent="0.3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8"/>
      <c r="AE531" s="5"/>
      <c r="AF531" s="8"/>
      <c r="AG531" s="4"/>
      <c r="AH531" s="5"/>
      <c r="AI531" s="5"/>
      <c r="AJ531" s="5"/>
      <c r="AK531" s="5"/>
      <c r="AL531" s="5"/>
      <c r="AM531" s="5"/>
      <c r="AN531" s="5"/>
    </row>
    <row r="532" spans="1:40" ht="12.75" x14ac:dyDescent="0.3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8"/>
      <c r="AE532" s="5"/>
      <c r="AF532" s="8"/>
      <c r="AG532" s="4"/>
      <c r="AH532" s="5"/>
      <c r="AI532" s="5"/>
      <c r="AJ532" s="5"/>
      <c r="AK532" s="5"/>
      <c r="AL532" s="5"/>
      <c r="AM532" s="5"/>
      <c r="AN532" s="5"/>
    </row>
    <row r="533" spans="1:40" ht="12.75" x14ac:dyDescent="0.3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8"/>
      <c r="AE533" s="5"/>
      <c r="AF533" s="8"/>
      <c r="AG533" s="4"/>
      <c r="AH533" s="5"/>
      <c r="AI533" s="5"/>
      <c r="AJ533" s="5"/>
      <c r="AK533" s="5"/>
      <c r="AL533" s="5"/>
      <c r="AM533" s="5"/>
      <c r="AN533" s="5"/>
    </row>
    <row r="534" spans="1:40" ht="12.75" x14ac:dyDescent="0.3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8"/>
      <c r="AE534" s="5"/>
      <c r="AF534" s="8"/>
      <c r="AG534" s="4"/>
      <c r="AH534" s="5"/>
      <c r="AI534" s="5"/>
      <c r="AJ534" s="5"/>
      <c r="AK534" s="5"/>
      <c r="AL534" s="5"/>
      <c r="AM534" s="5"/>
      <c r="AN534" s="5"/>
    </row>
    <row r="535" spans="1:40" ht="12.75" x14ac:dyDescent="0.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8"/>
      <c r="AE535" s="5"/>
      <c r="AF535" s="8"/>
      <c r="AG535" s="4"/>
      <c r="AH535" s="5"/>
      <c r="AI535" s="5"/>
      <c r="AJ535" s="5"/>
      <c r="AK535" s="5"/>
      <c r="AL535" s="5"/>
      <c r="AM535" s="5"/>
      <c r="AN535" s="5"/>
    </row>
    <row r="536" spans="1:40" ht="12.75" x14ac:dyDescent="0.3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8"/>
      <c r="AE536" s="5"/>
      <c r="AF536" s="8"/>
      <c r="AG536" s="4"/>
      <c r="AH536" s="5"/>
      <c r="AI536" s="5"/>
      <c r="AJ536" s="5"/>
      <c r="AK536" s="5"/>
      <c r="AL536" s="5"/>
      <c r="AM536" s="5"/>
      <c r="AN536" s="5"/>
    </row>
    <row r="537" spans="1:40" ht="12.75" x14ac:dyDescent="0.3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8"/>
      <c r="AE537" s="5"/>
      <c r="AF537" s="8"/>
      <c r="AG537" s="4"/>
      <c r="AH537" s="5"/>
      <c r="AI537" s="5"/>
      <c r="AJ537" s="5"/>
      <c r="AK537" s="5"/>
      <c r="AL537" s="5"/>
      <c r="AM537" s="5"/>
      <c r="AN537" s="5"/>
    </row>
    <row r="538" spans="1:40" ht="12.75" x14ac:dyDescent="0.3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8"/>
      <c r="AE538" s="5"/>
      <c r="AF538" s="8"/>
      <c r="AG538" s="4"/>
      <c r="AH538" s="5"/>
      <c r="AI538" s="5"/>
      <c r="AJ538" s="5"/>
      <c r="AK538" s="5"/>
      <c r="AL538" s="5"/>
      <c r="AM538" s="5"/>
      <c r="AN538" s="5"/>
    </row>
    <row r="539" spans="1:40" ht="12.75" x14ac:dyDescent="0.3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8"/>
      <c r="AE539" s="5"/>
      <c r="AF539" s="8"/>
      <c r="AG539" s="4"/>
      <c r="AH539" s="5"/>
      <c r="AI539" s="5"/>
      <c r="AJ539" s="5"/>
      <c r="AK539" s="5"/>
      <c r="AL539" s="5"/>
      <c r="AM539" s="5"/>
      <c r="AN539" s="5"/>
    </row>
    <row r="540" spans="1:40" ht="12.75" x14ac:dyDescent="0.3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8"/>
      <c r="AE540" s="5"/>
      <c r="AF540" s="8"/>
      <c r="AG540" s="4"/>
      <c r="AH540" s="5"/>
      <c r="AI540" s="5"/>
      <c r="AJ540" s="5"/>
      <c r="AK540" s="5"/>
      <c r="AL540" s="5"/>
      <c r="AM540" s="5"/>
      <c r="AN540" s="5"/>
    </row>
    <row r="541" spans="1:40" ht="12.75" x14ac:dyDescent="0.3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8"/>
      <c r="AE541" s="5"/>
      <c r="AF541" s="8"/>
      <c r="AG541" s="4"/>
      <c r="AH541" s="5"/>
      <c r="AI541" s="5"/>
      <c r="AJ541" s="5"/>
      <c r="AK541" s="5"/>
      <c r="AL541" s="5"/>
      <c r="AM541" s="5"/>
      <c r="AN541" s="5"/>
    </row>
    <row r="542" spans="1:40" ht="12.75" x14ac:dyDescent="0.3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8"/>
      <c r="AE542" s="5"/>
      <c r="AF542" s="8"/>
      <c r="AG542" s="4"/>
      <c r="AH542" s="5"/>
      <c r="AI542" s="5"/>
      <c r="AJ542" s="5"/>
      <c r="AK542" s="5"/>
      <c r="AL542" s="5"/>
      <c r="AM542" s="5"/>
      <c r="AN542" s="5"/>
    </row>
    <row r="543" spans="1:40" ht="12.75" x14ac:dyDescent="0.3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8"/>
      <c r="AE543" s="5"/>
      <c r="AF543" s="8"/>
      <c r="AG543" s="4"/>
      <c r="AH543" s="5"/>
      <c r="AI543" s="5"/>
      <c r="AJ543" s="5"/>
      <c r="AK543" s="5"/>
      <c r="AL543" s="5"/>
      <c r="AM543" s="5"/>
      <c r="AN543" s="5"/>
    </row>
    <row r="544" spans="1:40" ht="12.75" x14ac:dyDescent="0.3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8"/>
      <c r="AE544" s="5"/>
      <c r="AF544" s="8"/>
      <c r="AG544" s="4"/>
      <c r="AH544" s="5"/>
      <c r="AI544" s="5"/>
      <c r="AJ544" s="5"/>
      <c r="AK544" s="5"/>
      <c r="AL544" s="5"/>
      <c r="AM544" s="5"/>
      <c r="AN544" s="5"/>
    </row>
    <row r="545" spans="1:40" ht="12.75" x14ac:dyDescent="0.3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8"/>
      <c r="AE545" s="5"/>
      <c r="AF545" s="8"/>
      <c r="AG545" s="4"/>
      <c r="AH545" s="5"/>
      <c r="AI545" s="5"/>
      <c r="AJ545" s="5"/>
      <c r="AK545" s="5"/>
      <c r="AL545" s="5"/>
      <c r="AM545" s="5"/>
      <c r="AN545" s="5"/>
    </row>
    <row r="546" spans="1:40" ht="12.75" x14ac:dyDescent="0.3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8"/>
      <c r="AE546" s="5"/>
      <c r="AF546" s="8"/>
      <c r="AG546" s="4"/>
      <c r="AH546" s="5"/>
      <c r="AI546" s="5"/>
      <c r="AJ546" s="5"/>
      <c r="AK546" s="5"/>
      <c r="AL546" s="5"/>
      <c r="AM546" s="5"/>
      <c r="AN546" s="5"/>
    </row>
    <row r="547" spans="1:40" ht="12.75" x14ac:dyDescent="0.3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8"/>
      <c r="AE547" s="5"/>
      <c r="AF547" s="8"/>
      <c r="AG547" s="4"/>
      <c r="AH547" s="5"/>
      <c r="AI547" s="5"/>
      <c r="AJ547" s="5"/>
      <c r="AK547" s="5"/>
      <c r="AL547" s="5"/>
      <c r="AM547" s="5"/>
      <c r="AN547" s="5"/>
    </row>
    <row r="548" spans="1:40" ht="12.75" x14ac:dyDescent="0.3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8"/>
      <c r="AE548" s="5"/>
      <c r="AF548" s="8"/>
      <c r="AG548" s="4"/>
      <c r="AH548" s="5"/>
      <c r="AI548" s="5"/>
      <c r="AJ548" s="5"/>
      <c r="AK548" s="5"/>
      <c r="AL548" s="5"/>
      <c r="AM548" s="5"/>
      <c r="AN548" s="5"/>
    </row>
    <row r="549" spans="1:40" ht="12.75" x14ac:dyDescent="0.3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8"/>
      <c r="AE549" s="5"/>
      <c r="AF549" s="8"/>
      <c r="AG549" s="4"/>
      <c r="AH549" s="5"/>
      <c r="AI549" s="5"/>
      <c r="AJ549" s="5"/>
      <c r="AK549" s="5"/>
      <c r="AL549" s="5"/>
      <c r="AM549" s="5"/>
      <c r="AN549" s="5"/>
    </row>
    <row r="550" spans="1:40" ht="12.75" x14ac:dyDescent="0.3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8"/>
      <c r="AE550" s="5"/>
      <c r="AF550" s="8"/>
      <c r="AG550" s="4"/>
      <c r="AH550" s="5"/>
      <c r="AI550" s="5"/>
      <c r="AJ550" s="5"/>
      <c r="AK550" s="5"/>
      <c r="AL550" s="5"/>
      <c r="AM550" s="5"/>
      <c r="AN550" s="5"/>
    </row>
    <row r="551" spans="1:40" ht="12.75" x14ac:dyDescent="0.3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8"/>
      <c r="AE551" s="5"/>
      <c r="AF551" s="8"/>
      <c r="AG551" s="4"/>
      <c r="AH551" s="5"/>
      <c r="AI551" s="5"/>
      <c r="AJ551" s="5"/>
      <c r="AK551" s="5"/>
      <c r="AL551" s="5"/>
      <c r="AM551" s="5"/>
      <c r="AN551" s="5"/>
    </row>
    <row r="552" spans="1:40" ht="12.75" x14ac:dyDescent="0.3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8"/>
      <c r="AE552" s="5"/>
      <c r="AF552" s="8"/>
      <c r="AG552" s="4"/>
      <c r="AH552" s="5"/>
      <c r="AI552" s="5"/>
      <c r="AJ552" s="5"/>
      <c r="AK552" s="5"/>
      <c r="AL552" s="5"/>
      <c r="AM552" s="5"/>
      <c r="AN552" s="5"/>
    </row>
    <row r="553" spans="1:40" ht="12.75" x14ac:dyDescent="0.3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8"/>
      <c r="AE553" s="5"/>
      <c r="AF553" s="8"/>
      <c r="AG553" s="4"/>
      <c r="AH553" s="5"/>
      <c r="AI553" s="5"/>
      <c r="AJ553" s="5"/>
      <c r="AK553" s="5"/>
      <c r="AL553" s="5"/>
      <c r="AM553" s="5"/>
      <c r="AN553" s="5"/>
    </row>
    <row r="554" spans="1:40" ht="12.75" x14ac:dyDescent="0.3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8"/>
      <c r="AE554" s="5"/>
      <c r="AF554" s="8"/>
      <c r="AG554" s="4"/>
      <c r="AH554" s="5"/>
      <c r="AI554" s="5"/>
      <c r="AJ554" s="5"/>
      <c r="AK554" s="5"/>
      <c r="AL554" s="5"/>
      <c r="AM554" s="5"/>
      <c r="AN554" s="5"/>
    </row>
    <row r="555" spans="1:40" ht="12.75" x14ac:dyDescent="0.3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8"/>
      <c r="AE555" s="5"/>
      <c r="AF555" s="8"/>
      <c r="AG555" s="4"/>
      <c r="AH555" s="5"/>
      <c r="AI555" s="5"/>
      <c r="AJ555" s="5"/>
      <c r="AK555" s="5"/>
      <c r="AL555" s="5"/>
      <c r="AM555" s="5"/>
      <c r="AN555" s="5"/>
    </row>
    <row r="556" spans="1:40" ht="12.75" x14ac:dyDescent="0.3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8"/>
      <c r="AE556" s="5"/>
      <c r="AF556" s="8"/>
      <c r="AG556" s="4"/>
      <c r="AH556" s="5"/>
      <c r="AI556" s="5"/>
      <c r="AJ556" s="5"/>
      <c r="AK556" s="5"/>
      <c r="AL556" s="5"/>
      <c r="AM556" s="5"/>
      <c r="AN556" s="5"/>
    </row>
    <row r="557" spans="1:40" ht="12.75" x14ac:dyDescent="0.3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8"/>
      <c r="AE557" s="5"/>
      <c r="AF557" s="8"/>
      <c r="AG557" s="4"/>
      <c r="AH557" s="5"/>
      <c r="AI557" s="5"/>
      <c r="AJ557" s="5"/>
      <c r="AK557" s="5"/>
      <c r="AL557" s="5"/>
      <c r="AM557" s="5"/>
      <c r="AN557" s="5"/>
    </row>
    <row r="558" spans="1:40" ht="12.75" x14ac:dyDescent="0.3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8"/>
      <c r="AE558" s="5"/>
      <c r="AF558" s="8"/>
      <c r="AG558" s="4"/>
      <c r="AH558" s="5"/>
      <c r="AI558" s="5"/>
      <c r="AJ558" s="5"/>
      <c r="AK558" s="5"/>
      <c r="AL558" s="5"/>
      <c r="AM558" s="5"/>
      <c r="AN558" s="5"/>
    </row>
    <row r="559" spans="1:40" ht="12.75" x14ac:dyDescent="0.3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8"/>
      <c r="AE559" s="5"/>
      <c r="AF559" s="8"/>
      <c r="AG559" s="4"/>
      <c r="AH559" s="5"/>
      <c r="AI559" s="5"/>
      <c r="AJ559" s="5"/>
      <c r="AK559" s="5"/>
      <c r="AL559" s="5"/>
      <c r="AM559" s="5"/>
      <c r="AN559" s="5"/>
    </row>
    <row r="560" spans="1:40" ht="12.75" x14ac:dyDescent="0.3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8"/>
      <c r="AE560" s="5"/>
      <c r="AF560" s="8"/>
      <c r="AG560" s="4"/>
      <c r="AH560" s="5"/>
      <c r="AI560" s="5"/>
      <c r="AJ560" s="5"/>
      <c r="AK560" s="5"/>
      <c r="AL560" s="5"/>
      <c r="AM560" s="5"/>
      <c r="AN560" s="5"/>
    </row>
    <row r="561" spans="1:40" ht="12.75" x14ac:dyDescent="0.3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8"/>
      <c r="AE561" s="5"/>
      <c r="AF561" s="8"/>
      <c r="AG561" s="4"/>
      <c r="AH561" s="5"/>
      <c r="AI561" s="5"/>
      <c r="AJ561" s="5"/>
      <c r="AK561" s="5"/>
      <c r="AL561" s="5"/>
      <c r="AM561" s="5"/>
      <c r="AN561" s="5"/>
    </row>
    <row r="562" spans="1:40" ht="12.75" x14ac:dyDescent="0.3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8"/>
      <c r="AE562" s="5"/>
      <c r="AF562" s="8"/>
      <c r="AG562" s="4"/>
      <c r="AH562" s="5"/>
      <c r="AI562" s="5"/>
      <c r="AJ562" s="5"/>
      <c r="AK562" s="5"/>
      <c r="AL562" s="5"/>
      <c r="AM562" s="5"/>
      <c r="AN562" s="5"/>
    </row>
    <row r="563" spans="1:40" ht="12.75" x14ac:dyDescent="0.3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8"/>
      <c r="AE563" s="5"/>
      <c r="AF563" s="8"/>
      <c r="AG563" s="4"/>
      <c r="AH563" s="5"/>
      <c r="AI563" s="5"/>
      <c r="AJ563" s="5"/>
      <c r="AK563" s="5"/>
      <c r="AL563" s="5"/>
      <c r="AM563" s="5"/>
      <c r="AN563" s="5"/>
    </row>
    <row r="564" spans="1:40" ht="12.75" x14ac:dyDescent="0.3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8"/>
      <c r="AE564" s="5"/>
      <c r="AF564" s="8"/>
      <c r="AG564" s="4"/>
      <c r="AH564" s="5"/>
      <c r="AI564" s="5"/>
      <c r="AJ564" s="5"/>
      <c r="AK564" s="5"/>
      <c r="AL564" s="5"/>
      <c r="AM564" s="5"/>
      <c r="AN564" s="5"/>
    </row>
    <row r="565" spans="1:40" ht="12.75" x14ac:dyDescent="0.3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8"/>
      <c r="AE565" s="5"/>
      <c r="AF565" s="8"/>
      <c r="AG565" s="4"/>
      <c r="AH565" s="5"/>
      <c r="AI565" s="5"/>
      <c r="AJ565" s="5"/>
      <c r="AK565" s="5"/>
      <c r="AL565" s="5"/>
      <c r="AM565" s="5"/>
      <c r="AN565" s="5"/>
    </row>
    <row r="566" spans="1:40" ht="12.75" x14ac:dyDescent="0.3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8"/>
      <c r="AE566" s="5"/>
      <c r="AF566" s="8"/>
      <c r="AG566" s="4"/>
      <c r="AH566" s="5"/>
      <c r="AI566" s="5"/>
      <c r="AJ566" s="5"/>
      <c r="AK566" s="5"/>
      <c r="AL566" s="5"/>
      <c r="AM566" s="5"/>
      <c r="AN566" s="5"/>
    </row>
    <row r="567" spans="1:40" ht="12.75" x14ac:dyDescent="0.3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8"/>
      <c r="AE567" s="5"/>
      <c r="AF567" s="8"/>
      <c r="AG567" s="4"/>
      <c r="AH567" s="5"/>
      <c r="AI567" s="5"/>
      <c r="AJ567" s="5"/>
      <c r="AK567" s="5"/>
      <c r="AL567" s="5"/>
      <c r="AM567" s="5"/>
      <c r="AN567" s="5"/>
    </row>
    <row r="568" spans="1:40" ht="12.75" x14ac:dyDescent="0.3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8"/>
      <c r="AE568" s="5"/>
      <c r="AF568" s="8"/>
      <c r="AG568" s="4"/>
      <c r="AH568" s="5"/>
      <c r="AI568" s="5"/>
      <c r="AJ568" s="5"/>
      <c r="AK568" s="5"/>
      <c r="AL568" s="5"/>
      <c r="AM568" s="5"/>
      <c r="AN568" s="5"/>
    </row>
    <row r="569" spans="1:40" ht="12.75" x14ac:dyDescent="0.3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8"/>
      <c r="AE569" s="5"/>
      <c r="AF569" s="8"/>
      <c r="AG569" s="4"/>
      <c r="AH569" s="5"/>
      <c r="AI569" s="5"/>
      <c r="AJ569" s="5"/>
      <c r="AK569" s="5"/>
      <c r="AL569" s="5"/>
      <c r="AM569" s="5"/>
      <c r="AN569" s="5"/>
    </row>
    <row r="570" spans="1:40" ht="12.75" x14ac:dyDescent="0.3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8"/>
      <c r="AE570" s="5"/>
      <c r="AF570" s="8"/>
      <c r="AG570" s="4"/>
      <c r="AH570" s="5"/>
      <c r="AI570" s="5"/>
      <c r="AJ570" s="5"/>
      <c r="AK570" s="5"/>
      <c r="AL570" s="5"/>
      <c r="AM570" s="5"/>
      <c r="AN570" s="5"/>
    </row>
    <row r="571" spans="1:40" ht="12.75" x14ac:dyDescent="0.3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8"/>
      <c r="AE571" s="5"/>
      <c r="AF571" s="8"/>
      <c r="AG571" s="4"/>
      <c r="AH571" s="5"/>
      <c r="AI571" s="5"/>
      <c r="AJ571" s="5"/>
      <c r="AK571" s="5"/>
      <c r="AL571" s="5"/>
      <c r="AM571" s="5"/>
      <c r="AN571" s="5"/>
    </row>
    <row r="572" spans="1:40" ht="12.75" x14ac:dyDescent="0.3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8"/>
      <c r="AE572" s="5"/>
      <c r="AF572" s="8"/>
      <c r="AG572" s="4"/>
      <c r="AH572" s="5"/>
      <c r="AI572" s="5"/>
      <c r="AJ572" s="5"/>
      <c r="AK572" s="5"/>
      <c r="AL572" s="5"/>
      <c r="AM572" s="5"/>
      <c r="AN572" s="5"/>
    </row>
    <row r="573" spans="1:40" ht="12.75" x14ac:dyDescent="0.3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8"/>
      <c r="AE573" s="5"/>
      <c r="AF573" s="8"/>
      <c r="AG573" s="4"/>
      <c r="AH573" s="5"/>
      <c r="AI573" s="5"/>
      <c r="AJ573" s="5"/>
      <c r="AK573" s="5"/>
      <c r="AL573" s="5"/>
      <c r="AM573" s="5"/>
      <c r="AN573" s="5"/>
    </row>
    <row r="574" spans="1:40" ht="12.75" x14ac:dyDescent="0.3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8"/>
      <c r="AE574" s="5"/>
      <c r="AF574" s="8"/>
      <c r="AG574" s="4"/>
      <c r="AH574" s="5"/>
      <c r="AI574" s="5"/>
      <c r="AJ574" s="5"/>
      <c r="AK574" s="5"/>
      <c r="AL574" s="5"/>
      <c r="AM574" s="5"/>
      <c r="AN574" s="5"/>
    </row>
    <row r="575" spans="1:40" ht="12.75" x14ac:dyDescent="0.3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8"/>
      <c r="AE575" s="5"/>
      <c r="AF575" s="8"/>
      <c r="AG575" s="4"/>
      <c r="AH575" s="5"/>
      <c r="AI575" s="5"/>
      <c r="AJ575" s="5"/>
      <c r="AK575" s="5"/>
      <c r="AL575" s="5"/>
      <c r="AM575" s="5"/>
      <c r="AN575" s="5"/>
    </row>
    <row r="576" spans="1:40" ht="12.75" x14ac:dyDescent="0.3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8"/>
      <c r="AE576" s="5"/>
      <c r="AF576" s="8"/>
      <c r="AG576" s="4"/>
      <c r="AH576" s="5"/>
      <c r="AI576" s="5"/>
      <c r="AJ576" s="5"/>
      <c r="AK576" s="5"/>
      <c r="AL576" s="5"/>
      <c r="AM576" s="5"/>
      <c r="AN576" s="5"/>
    </row>
    <row r="577" spans="1:40" ht="12.75" x14ac:dyDescent="0.3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8"/>
      <c r="AE577" s="5"/>
      <c r="AF577" s="8"/>
      <c r="AG577" s="4"/>
      <c r="AH577" s="5"/>
      <c r="AI577" s="5"/>
      <c r="AJ577" s="5"/>
      <c r="AK577" s="5"/>
      <c r="AL577" s="5"/>
      <c r="AM577" s="5"/>
      <c r="AN577" s="5"/>
    </row>
    <row r="578" spans="1:40" ht="12.75" x14ac:dyDescent="0.3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8"/>
      <c r="AE578" s="5"/>
      <c r="AF578" s="8"/>
      <c r="AG578" s="4"/>
      <c r="AH578" s="5"/>
      <c r="AI578" s="5"/>
      <c r="AJ578" s="5"/>
      <c r="AK578" s="5"/>
      <c r="AL578" s="5"/>
      <c r="AM578" s="5"/>
      <c r="AN578" s="5"/>
    </row>
    <row r="579" spans="1:40" ht="12.75" x14ac:dyDescent="0.3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8"/>
      <c r="AE579" s="5"/>
      <c r="AF579" s="8"/>
      <c r="AG579" s="4"/>
      <c r="AH579" s="5"/>
      <c r="AI579" s="5"/>
      <c r="AJ579" s="5"/>
      <c r="AK579" s="5"/>
      <c r="AL579" s="5"/>
      <c r="AM579" s="5"/>
      <c r="AN579" s="5"/>
    </row>
    <row r="580" spans="1:40" ht="12.75" x14ac:dyDescent="0.3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8"/>
      <c r="AE580" s="5"/>
      <c r="AF580" s="8"/>
      <c r="AG580" s="4"/>
      <c r="AH580" s="5"/>
      <c r="AI580" s="5"/>
      <c r="AJ580" s="5"/>
      <c r="AK580" s="5"/>
      <c r="AL580" s="5"/>
      <c r="AM580" s="5"/>
      <c r="AN580" s="5"/>
    </row>
    <row r="581" spans="1:40" ht="12.75" x14ac:dyDescent="0.3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8"/>
      <c r="AE581" s="5"/>
      <c r="AF581" s="8"/>
      <c r="AG581" s="4"/>
      <c r="AH581" s="5"/>
      <c r="AI581" s="5"/>
      <c r="AJ581" s="5"/>
      <c r="AK581" s="5"/>
      <c r="AL581" s="5"/>
      <c r="AM581" s="5"/>
      <c r="AN581" s="5"/>
    </row>
    <row r="582" spans="1:40" ht="12.75" x14ac:dyDescent="0.3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8"/>
      <c r="AE582" s="5"/>
      <c r="AF582" s="8"/>
      <c r="AG582" s="4"/>
      <c r="AH582" s="5"/>
      <c r="AI582" s="5"/>
      <c r="AJ582" s="5"/>
      <c r="AK582" s="5"/>
      <c r="AL582" s="5"/>
      <c r="AM582" s="5"/>
      <c r="AN582" s="5"/>
    </row>
    <row r="583" spans="1:40" ht="12.75" x14ac:dyDescent="0.3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8"/>
      <c r="AE583" s="5"/>
      <c r="AF583" s="8"/>
      <c r="AG583" s="4"/>
      <c r="AH583" s="5"/>
      <c r="AI583" s="5"/>
      <c r="AJ583" s="5"/>
      <c r="AK583" s="5"/>
      <c r="AL583" s="5"/>
      <c r="AM583" s="5"/>
      <c r="AN583" s="5"/>
    </row>
    <row r="584" spans="1:40" ht="12.75" x14ac:dyDescent="0.3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8"/>
      <c r="AE584" s="5"/>
      <c r="AF584" s="8"/>
      <c r="AG584" s="4"/>
      <c r="AH584" s="5"/>
      <c r="AI584" s="5"/>
      <c r="AJ584" s="5"/>
      <c r="AK584" s="5"/>
      <c r="AL584" s="5"/>
      <c r="AM584" s="5"/>
      <c r="AN584" s="5"/>
    </row>
    <row r="585" spans="1:40" ht="12.75" x14ac:dyDescent="0.3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8"/>
      <c r="AE585" s="5"/>
      <c r="AF585" s="8"/>
      <c r="AG585" s="4"/>
      <c r="AH585" s="5"/>
      <c r="AI585" s="5"/>
      <c r="AJ585" s="5"/>
      <c r="AK585" s="5"/>
      <c r="AL585" s="5"/>
      <c r="AM585" s="5"/>
      <c r="AN585" s="5"/>
    </row>
    <row r="586" spans="1:40" ht="12.75" x14ac:dyDescent="0.3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8"/>
      <c r="AE586" s="5"/>
      <c r="AF586" s="8"/>
      <c r="AG586" s="4"/>
      <c r="AH586" s="5"/>
      <c r="AI586" s="5"/>
      <c r="AJ586" s="5"/>
      <c r="AK586" s="5"/>
      <c r="AL586" s="5"/>
      <c r="AM586" s="5"/>
      <c r="AN586" s="5"/>
    </row>
    <row r="587" spans="1:40" ht="12.75" x14ac:dyDescent="0.3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8"/>
      <c r="AE587" s="5"/>
      <c r="AF587" s="8"/>
      <c r="AG587" s="4"/>
      <c r="AH587" s="5"/>
      <c r="AI587" s="5"/>
      <c r="AJ587" s="5"/>
      <c r="AK587" s="5"/>
      <c r="AL587" s="5"/>
      <c r="AM587" s="5"/>
      <c r="AN587" s="5"/>
    </row>
    <row r="588" spans="1:40" ht="12.75" x14ac:dyDescent="0.3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8"/>
      <c r="AE588" s="5"/>
      <c r="AF588" s="8"/>
      <c r="AG588" s="4"/>
      <c r="AH588" s="5"/>
      <c r="AI588" s="5"/>
      <c r="AJ588" s="5"/>
      <c r="AK588" s="5"/>
      <c r="AL588" s="5"/>
      <c r="AM588" s="5"/>
      <c r="AN588" s="5"/>
    </row>
    <row r="589" spans="1:40" ht="12.75" x14ac:dyDescent="0.3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8"/>
      <c r="AE589" s="5"/>
      <c r="AF589" s="8"/>
      <c r="AG589" s="4"/>
      <c r="AH589" s="5"/>
      <c r="AI589" s="5"/>
      <c r="AJ589" s="5"/>
      <c r="AK589" s="5"/>
      <c r="AL589" s="5"/>
      <c r="AM589" s="5"/>
      <c r="AN589" s="5"/>
    </row>
    <row r="590" spans="1:40" ht="12.75" x14ac:dyDescent="0.3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8"/>
      <c r="AE590" s="5"/>
      <c r="AF590" s="8"/>
      <c r="AG590" s="4"/>
      <c r="AH590" s="5"/>
      <c r="AI590" s="5"/>
      <c r="AJ590" s="5"/>
      <c r="AK590" s="5"/>
      <c r="AL590" s="5"/>
      <c r="AM590" s="5"/>
      <c r="AN590" s="5"/>
    </row>
    <row r="591" spans="1:40" ht="12.75" x14ac:dyDescent="0.3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8"/>
      <c r="AE591" s="5"/>
      <c r="AF591" s="8"/>
      <c r="AG591" s="4"/>
      <c r="AH591" s="5"/>
      <c r="AI591" s="5"/>
      <c r="AJ591" s="5"/>
      <c r="AK591" s="5"/>
      <c r="AL591" s="5"/>
      <c r="AM591" s="5"/>
      <c r="AN591" s="5"/>
    </row>
    <row r="592" spans="1:40" ht="12.75" x14ac:dyDescent="0.3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8"/>
      <c r="AE592" s="5"/>
      <c r="AF592" s="8"/>
      <c r="AG592" s="4"/>
      <c r="AH592" s="5"/>
      <c r="AI592" s="5"/>
      <c r="AJ592" s="5"/>
      <c r="AK592" s="5"/>
      <c r="AL592" s="5"/>
      <c r="AM592" s="5"/>
      <c r="AN592" s="5"/>
    </row>
    <row r="593" spans="1:40" ht="12.75" x14ac:dyDescent="0.3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8"/>
      <c r="AE593" s="5"/>
      <c r="AF593" s="8"/>
      <c r="AG593" s="4"/>
      <c r="AH593" s="5"/>
      <c r="AI593" s="5"/>
      <c r="AJ593" s="5"/>
      <c r="AK593" s="5"/>
      <c r="AL593" s="5"/>
      <c r="AM593" s="5"/>
      <c r="AN593" s="5"/>
    </row>
    <row r="594" spans="1:40" ht="12.75" x14ac:dyDescent="0.3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8"/>
      <c r="AE594" s="5"/>
      <c r="AF594" s="8"/>
      <c r="AG594" s="4"/>
      <c r="AH594" s="5"/>
      <c r="AI594" s="5"/>
      <c r="AJ594" s="5"/>
      <c r="AK594" s="5"/>
      <c r="AL594" s="5"/>
      <c r="AM594" s="5"/>
      <c r="AN594" s="5"/>
    </row>
    <row r="595" spans="1:40" ht="12.75" x14ac:dyDescent="0.3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8"/>
      <c r="AE595" s="5"/>
      <c r="AF595" s="8"/>
      <c r="AG595" s="4"/>
      <c r="AH595" s="5"/>
      <c r="AI595" s="5"/>
      <c r="AJ595" s="5"/>
      <c r="AK595" s="5"/>
      <c r="AL595" s="5"/>
      <c r="AM595" s="5"/>
      <c r="AN595" s="5"/>
    </row>
    <row r="596" spans="1:40" ht="12.75" x14ac:dyDescent="0.3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8"/>
      <c r="AE596" s="5"/>
      <c r="AF596" s="8"/>
      <c r="AG596" s="4"/>
      <c r="AH596" s="5"/>
      <c r="AI596" s="5"/>
      <c r="AJ596" s="5"/>
      <c r="AK596" s="5"/>
      <c r="AL596" s="5"/>
      <c r="AM596" s="5"/>
      <c r="AN596" s="5"/>
    </row>
    <row r="597" spans="1:40" ht="12.75" x14ac:dyDescent="0.3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8"/>
      <c r="AE597" s="5"/>
      <c r="AF597" s="8"/>
      <c r="AG597" s="4"/>
      <c r="AH597" s="5"/>
      <c r="AI597" s="5"/>
      <c r="AJ597" s="5"/>
      <c r="AK597" s="5"/>
      <c r="AL597" s="5"/>
      <c r="AM597" s="5"/>
      <c r="AN597" s="5"/>
    </row>
    <row r="598" spans="1:40" ht="12.75" x14ac:dyDescent="0.3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8"/>
      <c r="AE598" s="5"/>
      <c r="AF598" s="8"/>
      <c r="AG598" s="4"/>
      <c r="AH598" s="5"/>
      <c r="AI598" s="5"/>
      <c r="AJ598" s="5"/>
      <c r="AK598" s="5"/>
      <c r="AL598" s="5"/>
      <c r="AM598" s="5"/>
      <c r="AN598" s="5"/>
    </row>
    <row r="599" spans="1:40" ht="12.75" x14ac:dyDescent="0.3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8"/>
      <c r="AE599" s="5"/>
      <c r="AF599" s="8"/>
      <c r="AG599" s="4"/>
      <c r="AH599" s="5"/>
      <c r="AI599" s="5"/>
      <c r="AJ599" s="5"/>
      <c r="AK599" s="5"/>
      <c r="AL599" s="5"/>
      <c r="AM599" s="5"/>
      <c r="AN599" s="5"/>
    </row>
    <row r="600" spans="1:40" ht="12.75" x14ac:dyDescent="0.3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8"/>
      <c r="AE600" s="5"/>
      <c r="AF600" s="8"/>
      <c r="AG600" s="4"/>
      <c r="AH600" s="5"/>
      <c r="AI600" s="5"/>
      <c r="AJ600" s="5"/>
      <c r="AK600" s="5"/>
      <c r="AL600" s="5"/>
      <c r="AM600" s="5"/>
      <c r="AN600" s="5"/>
    </row>
    <row r="601" spans="1:40" ht="12.75" x14ac:dyDescent="0.3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8"/>
      <c r="AE601" s="5"/>
      <c r="AF601" s="8"/>
      <c r="AG601" s="4"/>
      <c r="AH601" s="5"/>
      <c r="AI601" s="5"/>
      <c r="AJ601" s="5"/>
      <c r="AK601" s="5"/>
      <c r="AL601" s="5"/>
      <c r="AM601" s="5"/>
      <c r="AN601" s="5"/>
    </row>
    <row r="602" spans="1:40" ht="12.75" x14ac:dyDescent="0.3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8"/>
      <c r="AE602" s="5"/>
      <c r="AF602" s="8"/>
      <c r="AG602" s="4"/>
      <c r="AH602" s="5"/>
      <c r="AI602" s="5"/>
      <c r="AJ602" s="5"/>
      <c r="AK602" s="5"/>
      <c r="AL602" s="5"/>
      <c r="AM602" s="5"/>
      <c r="AN602" s="5"/>
    </row>
    <row r="603" spans="1:40" ht="12.75" x14ac:dyDescent="0.3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8"/>
      <c r="AE603" s="5"/>
      <c r="AF603" s="8"/>
      <c r="AG603" s="4"/>
      <c r="AH603" s="5"/>
      <c r="AI603" s="5"/>
      <c r="AJ603" s="5"/>
      <c r="AK603" s="5"/>
      <c r="AL603" s="5"/>
      <c r="AM603" s="5"/>
      <c r="AN603" s="5"/>
    </row>
    <row r="604" spans="1:40" ht="12.75" x14ac:dyDescent="0.3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8"/>
      <c r="AE604" s="5"/>
      <c r="AF604" s="8"/>
      <c r="AG604" s="4"/>
      <c r="AH604" s="5"/>
      <c r="AI604" s="5"/>
      <c r="AJ604" s="5"/>
      <c r="AK604" s="5"/>
      <c r="AL604" s="5"/>
      <c r="AM604" s="5"/>
      <c r="AN604" s="5"/>
    </row>
    <row r="605" spans="1:40" ht="12.75" x14ac:dyDescent="0.3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8"/>
      <c r="AE605" s="5"/>
      <c r="AF605" s="8"/>
      <c r="AG605" s="4"/>
      <c r="AH605" s="5"/>
      <c r="AI605" s="5"/>
      <c r="AJ605" s="5"/>
      <c r="AK605" s="5"/>
      <c r="AL605" s="5"/>
      <c r="AM605" s="5"/>
      <c r="AN605" s="5"/>
    </row>
    <row r="606" spans="1:40" ht="12.75" x14ac:dyDescent="0.3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8"/>
      <c r="AE606" s="5"/>
      <c r="AF606" s="8"/>
      <c r="AG606" s="4"/>
      <c r="AH606" s="5"/>
      <c r="AI606" s="5"/>
      <c r="AJ606" s="5"/>
      <c r="AK606" s="5"/>
      <c r="AL606" s="5"/>
      <c r="AM606" s="5"/>
      <c r="AN606" s="5"/>
    </row>
    <row r="607" spans="1:40" ht="12.75" x14ac:dyDescent="0.3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8"/>
      <c r="AE607" s="5"/>
      <c r="AF607" s="8"/>
      <c r="AG607" s="4"/>
      <c r="AH607" s="5"/>
      <c r="AI607" s="5"/>
      <c r="AJ607" s="5"/>
      <c r="AK607" s="5"/>
      <c r="AL607" s="5"/>
      <c r="AM607" s="5"/>
      <c r="AN607" s="5"/>
    </row>
    <row r="608" spans="1:40" ht="12.75" x14ac:dyDescent="0.3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8"/>
      <c r="AE608" s="5"/>
      <c r="AF608" s="8"/>
      <c r="AG608" s="4"/>
      <c r="AH608" s="5"/>
      <c r="AI608" s="5"/>
      <c r="AJ608" s="5"/>
      <c r="AK608" s="5"/>
      <c r="AL608" s="5"/>
      <c r="AM608" s="5"/>
      <c r="AN608" s="5"/>
    </row>
    <row r="609" spans="1:40" ht="12.75" x14ac:dyDescent="0.3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8"/>
      <c r="AE609" s="5"/>
      <c r="AF609" s="8"/>
      <c r="AG609" s="4"/>
      <c r="AH609" s="5"/>
      <c r="AI609" s="5"/>
      <c r="AJ609" s="5"/>
      <c r="AK609" s="5"/>
      <c r="AL609" s="5"/>
      <c r="AM609" s="5"/>
      <c r="AN609" s="5"/>
    </row>
    <row r="610" spans="1:40" ht="12.75" x14ac:dyDescent="0.3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8"/>
      <c r="AE610" s="5"/>
      <c r="AF610" s="8"/>
      <c r="AG610" s="4"/>
      <c r="AH610" s="5"/>
      <c r="AI610" s="5"/>
      <c r="AJ610" s="5"/>
      <c r="AK610" s="5"/>
      <c r="AL610" s="5"/>
      <c r="AM610" s="5"/>
      <c r="AN610" s="5"/>
    </row>
    <row r="611" spans="1:40" ht="12.75" x14ac:dyDescent="0.3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8"/>
      <c r="AE611" s="5"/>
      <c r="AF611" s="8"/>
      <c r="AG611" s="4"/>
      <c r="AH611" s="5"/>
      <c r="AI611" s="5"/>
      <c r="AJ611" s="5"/>
      <c r="AK611" s="5"/>
      <c r="AL611" s="5"/>
      <c r="AM611" s="5"/>
      <c r="AN611" s="5"/>
    </row>
    <row r="612" spans="1:40" ht="12.75" x14ac:dyDescent="0.3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8"/>
      <c r="AE612" s="5"/>
      <c r="AF612" s="8"/>
      <c r="AG612" s="4"/>
      <c r="AH612" s="5"/>
      <c r="AI612" s="5"/>
      <c r="AJ612" s="5"/>
      <c r="AK612" s="5"/>
      <c r="AL612" s="5"/>
      <c r="AM612" s="5"/>
      <c r="AN612" s="5"/>
    </row>
    <row r="613" spans="1:40" ht="12.75" x14ac:dyDescent="0.3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8"/>
      <c r="AE613" s="5"/>
      <c r="AF613" s="8"/>
      <c r="AG613" s="4"/>
      <c r="AH613" s="5"/>
      <c r="AI613" s="5"/>
      <c r="AJ613" s="5"/>
      <c r="AK613" s="5"/>
      <c r="AL613" s="5"/>
      <c r="AM613" s="5"/>
      <c r="AN613" s="5"/>
    </row>
    <row r="614" spans="1:40" ht="12.75" x14ac:dyDescent="0.3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8"/>
      <c r="AE614" s="5"/>
      <c r="AF614" s="8"/>
      <c r="AG614" s="4"/>
      <c r="AH614" s="5"/>
      <c r="AI614" s="5"/>
      <c r="AJ614" s="5"/>
      <c r="AK614" s="5"/>
      <c r="AL614" s="5"/>
      <c r="AM614" s="5"/>
      <c r="AN614" s="5"/>
    </row>
    <row r="615" spans="1:40" ht="12.75" x14ac:dyDescent="0.3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8"/>
      <c r="AE615" s="5"/>
      <c r="AF615" s="8"/>
      <c r="AG615" s="4"/>
      <c r="AH615" s="5"/>
      <c r="AI615" s="5"/>
      <c r="AJ615" s="5"/>
      <c r="AK615" s="5"/>
      <c r="AL615" s="5"/>
      <c r="AM615" s="5"/>
      <c r="AN615" s="5"/>
    </row>
    <row r="616" spans="1:40" ht="12.75" x14ac:dyDescent="0.3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8"/>
      <c r="AE616" s="5"/>
      <c r="AF616" s="8"/>
      <c r="AG616" s="4"/>
      <c r="AH616" s="5"/>
      <c r="AI616" s="5"/>
      <c r="AJ616" s="5"/>
      <c r="AK616" s="5"/>
      <c r="AL616" s="5"/>
      <c r="AM616" s="5"/>
      <c r="AN616" s="5"/>
    </row>
    <row r="617" spans="1:40" ht="12.75" x14ac:dyDescent="0.3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8"/>
      <c r="AE617" s="5"/>
      <c r="AF617" s="8"/>
      <c r="AG617" s="4"/>
      <c r="AH617" s="5"/>
      <c r="AI617" s="5"/>
      <c r="AJ617" s="5"/>
      <c r="AK617" s="5"/>
      <c r="AL617" s="5"/>
      <c r="AM617" s="5"/>
      <c r="AN617" s="5"/>
    </row>
    <row r="618" spans="1:40" ht="12.75" x14ac:dyDescent="0.3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8"/>
      <c r="AE618" s="5"/>
      <c r="AF618" s="8"/>
      <c r="AG618" s="4"/>
      <c r="AH618" s="5"/>
      <c r="AI618" s="5"/>
      <c r="AJ618" s="5"/>
      <c r="AK618" s="5"/>
      <c r="AL618" s="5"/>
      <c r="AM618" s="5"/>
      <c r="AN618" s="5"/>
    </row>
    <row r="619" spans="1:40" ht="12.75" x14ac:dyDescent="0.3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8"/>
      <c r="AE619" s="5"/>
      <c r="AF619" s="8"/>
      <c r="AG619" s="4"/>
      <c r="AH619" s="5"/>
      <c r="AI619" s="5"/>
      <c r="AJ619" s="5"/>
      <c r="AK619" s="5"/>
      <c r="AL619" s="5"/>
      <c r="AM619" s="5"/>
      <c r="AN619" s="5"/>
    </row>
    <row r="620" spans="1:40" ht="12.75" x14ac:dyDescent="0.3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8"/>
      <c r="AE620" s="5"/>
      <c r="AF620" s="8"/>
      <c r="AG620" s="4"/>
      <c r="AH620" s="5"/>
      <c r="AI620" s="5"/>
      <c r="AJ620" s="5"/>
      <c r="AK620" s="5"/>
      <c r="AL620" s="5"/>
      <c r="AM620" s="5"/>
      <c r="AN620" s="5"/>
    </row>
    <row r="621" spans="1:40" ht="12.75" x14ac:dyDescent="0.3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8"/>
      <c r="AE621" s="5"/>
      <c r="AF621" s="8"/>
      <c r="AG621" s="4"/>
      <c r="AH621" s="5"/>
      <c r="AI621" s="5"/>
      <c r="AJ621" s="5"/>
      <c r="AK621" s="5"/>
      <c r="AL621" s="5"/>
      <c r="AM621" s="5"/>
      <c r="AN621" s="5"/>
    </row>
    <row r="622" spans="1:40" ht="12.75" x14ac:dyDescent="0.3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8"/>
      <c r="AE622" s="5"/>
      <c r="AF622" s="8"/>
      <c r="AG622" s="4"/>
      <c r="AH622" s="5"/>
      <c r="AI622" s="5"/>
      <c r="AJ622" s="5"/>
      <c r="AK622" s="5"/>
      <c r="AL622" s="5"/>
      <c r="AM622" s="5"/>
      <c r="AN622" s="5"/>
    </row>
    <row r="623" spans="1:40" ht="12.75" x14ac:dyDescent="0.3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8"/>
      <c r="AE623" s="5"/>
      <c r="AF623" s="8"/>
      <c r="AG623" s="4"/>
      <c r="AH623" s="5"/>
      <c r="AI623" s="5"/>
      <c r="AJ623" s="5"/>
      <c r="AK623" s="5"/>
      <c r="AL623" s="5"/>
      <c r="AM623" s="5"/>
      <c r="AN623" s="5"/>
    </row>
    <row r="624" spans="1:40" ht="12.75" x14ac:dyDescent="0.3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8"/>
      <c r="AE624" s="5"/>
      <c r="AF624" s="8"/>
      <c r="AG624" s="4"/>
      <c r="AH624" s="5"/>
      <c r="AI624" s="5"/>
      <c r="AJ624" s="5"/>
      <c r="AK624" s="5"/>
      <c r="AL624" s="5"/>
      <c r="AM624" s="5"/>
      <c r="AN624" s="5"/>
    </row>
    <row r="625" spans="1:40" ht="12.75" x14ac:dyDescent="0.3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8"/>
      <c r="AE625" s="5"/>
      <c r="AF625" s="8"/>
      <c r="AG625" s="4"/>
      <c r="AH625" s="5"/>
      <c r="AI625" s="5"/>
      <c r="AJ625" s="5"/>
      <c r="AK625" s="5"/>
      <c r="AL625" s="5"/>
      <c r="AM625" s="5"/>
      <c r="AN625" s="5"/>
    </row>
    <row r="626" spans="1:40" ht="12.75" x14ac:dyDescent="0.3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8"/>
      <c r="AE626" s="5"/>
      <c r="AF626" s="8"/>
      <c r="AG626" s="4"/>
      <c r="AH626" s="5"/>
      <c r="AI626" s="5"/>
      <c r="AJ626" s="5"/>
      <c r="AK626" s="5"/>
      <c r="AL626" s="5"/>
      <c r="AM626" s="5"/>
      <c r="AN626" s="5"/>
    </row>
    <row r="627" spans="1:40" ht="12.75" x14ac:dyDescent="0.3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8"/>
      <c r="AE627" s="5"/>
      <c r="AF627" s="8"/>
      <c r="AG627" s="4"/>
      <c r="AH627" s="5"/>
      <c r="AI627" s="5"/>
      <c r="AJ627" s="5"/>
      <c r="AK627" s="5"/>
      <c r="AL627" s="5"/>
      <c r="AM627" s="5"/>
      <c r="AN627" s="5"/>
    </row>
    <row r="628" spans="1:40" ht="12.75" x14ac:dyDescent="0.3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8"/>
      <c r="AE628" s="5"/>
      <c r="AF628" s="8"/>
      <c r="AG628" s="4"/>
      <c r="AH628" s="5"/>
      <c r="AI628" s="5"/>
      <c r="AJ628" s="5"/>
      <c r="AK628" s="5"/>
      <c r="AL628" s="5"/>
      <c r="AM628" s="5"/>
      <c r="AN628" s="5"/>
    </row>
    <row r="629" spans="1:40" ht="12.75" x14ac:dyDescent="0.3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8"/>
      <c r="AE629" s="5"/>
      <c r="AF629" s="8"/>
      <c r="AG629" s="4"/>
      <c r="AH629" s="5"/>
      <c r="AI629" s="5"/>
      <c r="AJ629" s="5"/>
      <c r="AK629" s="5"/>
      <c r="AL629" s="5"/>
      <c r="AM629" s="5"/>
      <c r="AN629" s="5"/>
    </row>
    <row r="630" spans="1:40" ht="12.75" x14ac:dyDescent="0.3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8"/>
      <c r="AE630" s="5"/>
      <c r="AF630" s="8"/>
      <c r="AG630" s="4"/>
      <c r="AH630" s="5"/>
      <c r="AI630" s="5"/>
      <c r="AJ630" s="5"/>
      <c r="AK630" s="5"/>
      <c r="AL630" s="5"/>
      <c r="AM630" s="5"/>
      <c r="AN630" s="5"/>
    </row>
    <row r="631" spans="1:40" ht="12.75" x14ac:dyDescent="0.3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8"/>
      <c r="AE631" s="5"/>
      <c r="AF631" s="8"/>
      <c r="AG631" s="4"/>
      <c r="AH631" s="5"/>
      <c r="AI631" s="5"/>
      <c r="AJ631" s="5"/>
      <c r="AK631" s="5"/>
      <c r="AL631" s="5"/>
      <c r="AM631" s="5"/>
      <c r="AN631" s="5"/>
    </row>
    <row r="632" spans="1:40" ht="12.75" x14ac:dyDescent="0.3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8"/>
      <c r="AE632" s="5"/>
      <c r="AF632" s="8"/>
      <c r="AG632" s="4"/>
      <c r="AH632" s="5"/>
      <c r="AI632" s="5"/>
      <c r="AJ632" s="5"/>
      <c r="AK632" s="5"/>
      <c r="AL632" s="5"/>
      <c r="AM632" s="5"/>
      <c r="AN632" s="5"/>
    </row>
    <row r="633" spans="1:40" ht="12.75" x14ac:dyDescent="0.3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8"/>
      <c r="AE633" s="5"/>
      <c r="AF633" s="8"/>
      <c r="AG633" s="4"/>
      <c r="AH633" s="5"/>
      <c r="AI633" s="5"/>
      <c r="AJ633" s="5"/>
      <c r="AK633" s="5"/>
      <c r="AL633" s="5"/>
      <c r="AM633" s="5"/>
      <c r="AN633" s="5"/>
    </row>
    <row r="634" spans="1:40" ht="12.75" x14ac:dyDescent="0.3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8"/>
      <c r="AE634" s="5"/>
      <c r="AF634" s="8"/>
      <c r="AG634" s="4"/>
      <c r="AH634" s="5"/>
      <c r="AI634" s="5"/>
      <c r="AJ634" s="5"/>
      <c r="AK634" s="5"/>
      <c r="AL634" s="5"/>
      <c r="AM634" s="5"/>
      <c r="AN634" s="5"/>
    </row>
    <row r="635" spans="1:40" ht="12.75" x14ac:dyDescent="0.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8"/>
      <c r="AE635" s="5"/>
      <c r="AF635" s="8"/>
      <c r="AG635" s="4"/>
      <c r="AH635" s="5"/>
      <c r="AI635" s="5"/>
      <c r="AJ635" s="5"/>
      <c r="AK635" s="5"/>
      <c r="AL635" s="5"/>
      <c r="AM635" s="5"/>
      <c r="AN635" s="5"/>
    </row>
    <row r="636" spans="1:40" ht="12.75" x14ac:dyDescent="0.3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8"/>
      <c r="AE636" s="5"/>
      <c r="AF636" s="8"/>
      <c r="AG636" s="4"/>
      <c r="AH636" s="5"/>
      <c r="AI636" s="5"/>
      <c r="AJ636" s="5"/>
      <c r="AK636" s="5"/>
      <c r="AL636" s="5"/>
      <c r="AM636" s="5"/>
      <c r="AN636" s="5"/>
    </row>
    <row r="637" spans="1:40" ht="12.75" x14ac:dyDescent="0.3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8"/>
      <c r="AE637" s="5"/>
      <c r="AF637" s="8"/>
      <c r="AG637" s="4"/>
      <c r="AH637" s="5"/>
      <c r="AI637" s="5"/>
      <c r="AJ637" s="5"/>
      <c r="AK637" s="5"/>
      <c r="AL637" s="5"/>
      <c r="AM637" s="5"/>
      <c r="AN637" s="5"/>
    </row>
    <row r="638" spans="1:40" ht="12.75" x14ac:dyDescent="0.3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8"/>
      <c r="AE638" s="5"/>
      <c r="AF638" s="8"/>
      <c r="AG638" s="4"/>
      <c r="AH638" s="5"/>
      <c r="AI638" s="5"/>
      <c r="AJ638" s="5"/>
      <c r="AK638" s="5"/>
      <c r="AL638" s="5"/>
      <c r="AM638" s="5"/>
      <c r="AN638" s="5"/>
    </row>
    <row r="639" spans="1:40" ht="12.75" x14ac:dyDescent="0.3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8"/>
      <c r="AE639" s="5"/>
      <c r="AF639" s="8"/>
      <c r="AG639" s="4"/>
      <c r="AH639" s="5"/>
      <c r="AI639" s="5"/>
      <c r="AJ639" s="5"/>
      <c r="AK639" s="5"/>
      <c r="AL639" s="5"/>
      <c r="AM639" s="5"/>
      <c r="AN639" s="5"/>
    </row>
    <row r="640" spans="1:40" ht="12.75" x14ac:dyDescent="0.3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8"/>
      <c r="AE640" s="5"/>
      <c r="AF640" s="8"/>
      <c r="AG640" s="4"/>
      <c r="AH640" s="5"/>
      <c r="AI640" s="5"/>
      <c r="AJ640" s="5"/>
      <c r="AK640" s="5"/>
      <c r="AL640" s="5"/>
      <c r="AM640" s="5"/>
      <c r="AN640" s="5"/>
    </row>
    <row r="641" spans="1:40" ht="12.75" x14ac:dyDescent="0.3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8"/>
      <c r="AE641" s="5"/>
      <c r="AF641" s="8"/>
      <c r="AG641" s="4"/>
      <c r="AH641" s="5"/>
      <c r="AI641" s="5"/>
      <c r="AJ641" s="5"/>
      <c r="AK641" s="5"/>
      <c r="AL641" s="5"/>
      <c r="AM641" s="5"/>
      <c r="AN641" s="5"/>
    </row>
    <row r="642" spans="1:40" ht="12.75" x14ac:dyDescent="0.3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8"/>
      <c r="AE642" s="5"/>
      <c r="AF642" s="8"/>
      <c r="AG642" s="4"/>
      <c r="AH642" s="5"/>
      <c r="AI642" s="5"/>
      <c r="AJ642" s="5"/>
      <c r="AK642" s="5"/>
      <c r="AL642" s="5"/>
      <c r="AM642" s="5"/>
      <c r="AN642" s="5"/>
    </row>
    <row r="643" spans="1:40" ht="12.75" x14ac:dyDescent="0.3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8"/>
      <c r="AE643" s="5"/>
      <c r="AF643" s="8"/>
      <c r="AG643" s="4"/>
      <c r="AH643" s="5"/>
      <c r="AI643" s="5"/>
      <c r="AJ643" s="5"/>
      <c r="AK643" s="5"/>
      <c r="AL643" s="5"/>
      <c r="AM643" s="5"/>
      <c r="AN643" s="5"/>
    </row>
    <row r="644" spans="1:40" ht="12.75" x14ac:dyDescent="0.3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8"/>
      <c r="AE644" s="5"/>
      <c r="AF644" s="8"/>
      <c r="AG644" s="4"/>
      <c r="AH644" s="5"/>
      <c r="AI644" s="5"/>
      <c r="AJ644" s="5"/>
      <c r="AK644" s="5"/>
      <c r="AL644" s="5"/>
      <c r="AM644" s="5"/>
      <c r="AN644" s="5"/>
    </row>
    <row r="645" spans="1:40" ht="12.75" x14ac:dyDescent="0.3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8"/>
      <c r="AE645" s="5"/>
      <c r="AF645" s="8"/>
      <c r="AG645" s="4"/>
      <c r="AH645" s="5"/>
      <c r="AI645" s="5"/>
      <c r="AJ645" s="5"/>
      <c r="AK645" s="5"/>
      <c r="AL645" s="5"/>
      <c r="AM645" s="5"/>
      <c r="AN645" s="5"/>
    </row>
    <row r="646" spans="1:40" ht="12.75" x14ac:dyDescent="0.3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8"/>
      <c r="AE646" s="5"/>
      <c r="AF646" s="8"/>
      <c r="AG646" s="4"/>
      <c r="AH646" s="5"/>
      <c r="AI646" s="5"/>
      <c r="AJ646" s="5"/>
      <c r="AK646" s="5"/>
      <c r="AL646" s="5"/>
      <c r="AM646" s="5"/>
      <c r="AN646" s="5"/>
    </row>
    <row r="647" spans="1:40" ht="12.75" x14ac:dyDescent="0.3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8"/>
      <c r="AE647" s="5"/>
      <c r="AF647" s="8"/>
      <c r="AG647" s="4"/>
      <c r="AH647" s="5"/>
      <c r="AI647" s="5"/>
      <c r="AJ647" s="5"/>
      <c r="AK647" s="5"/>
      <c r="AL647" s="5"/>
      <c r="AM647" s="5"/>
      <c r="AN647" s="5"/>
    </row>
    <row r="648" spans="1:40" ht="12.75" x14ac:dyDescent="0.3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8"/>
      <c r="AE648" s="5"/>
      <c r="AF648" s="8"/>
      <c r="AG648" s="4"/>
      <c r="AH648" s="5"/>
      <c r="AI648" s="5"/>
      <c r="AJ648" s="5"/>
      <c r="AK648" s="5"/>
      <c r="AL648" s="5"/>
      <c r="AM648" s="5"/>
      <c r="AN648" s="5"/>
    </row>
    <row r="649" spans="1:40" ht="12.75" x14ac:dyDescent="0.3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8"/>
      <c r="AE649" s="5"/>
      <c r="AF649" s="8"/>
      <c r="AG649" s="4"/>
      <c r="AH649" s="5"/>
      <c r="AI649" s="5"/>
      <c r="AJ649" s="5"/>
      <c r="AK649" s="5"/>
      <c r="AL649" s="5"/>
      <c r="AM649" s="5"/>
      <c r="AN649" s="5"/>
    </row>
    <row r="650" spans="1:40" ht="12.75" x14ac:dyDescent="0.3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8"/>
      <c r="AE650" s="5"/>
      <c r="AF650" s="8"/>
      <c r="AG650" s="4"/>
      <c r="AH650" s="5"/>
      <c r="AI650" s="5"/>
      <c r="AJ650" s="5"/>
      <c r="AK650" s="5"/>
      <c r="AL650" s="5"/>
      <c r="AM650" s="5"/>
      <c r="AN650" s="5"/>
    </row>
    <row r="651" spans="1:40" ht="12.75" x14ac:dyDescent="0.3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8"/>
      <c r="AE651" s="5"/>
      <c r="AF651" s="8"/>
      <c r="AG651" s="4"/>
      <c r="AH651" s="5"/>
      <c r="AI651" s="5"/>
      <c r="AJ651" s="5"/>
      <c r="AK651" s="5"/>
      <c r="AL651" s="5"/>
      <c r="AM651" s="5"/>
      <c r="AN651" s="5"/>
    </row>
    <row r="652" spans="1:40" ht="12.75" x14ac:dyDescent="0.3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8"/>
      <c r="AE652" s="5"/>
      <c r="AF652" s="8"/>
      <c r="AG652" s="4"/>
      <c r="AH652" s="5"/>
      <c r="AI652" s="5"/>
      <c r="AJ652" s="5"/>
      <c r="AK652" s="5"/>
      <c r="AL652" s="5"/>
      <c r="AM652" s="5"/>
      <c r="AN652" s="5"/>
    </row>
    <row r="653" spans="1:40" ht="12.75" x14ac:dyDescent="0.3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8"/>
      <c r="AE653" s="5"/>
      <c r="AF653" s="8"/>
      <c r="AG653" s="4"/>
      <c r="AH653" s="5"/>
      <c r="AI653" s="5"/>
      <c r="AJ653" s="5"/>
      <c r="AK653" s="5"/>
      <c r="AL653" s="5"/>
      <c r="AM653" s="5"/>
      <c r="AN653" s="5"/>
    </row>
    <row r="654" spans="1:40" ht="12.75" x14ac:dyDescent="0.3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8"/>
      <c r="AE654" s="5"/>
      <c r="AF654" s="8"/>
      <c r="AG654" s="4"/>
      <c r="AH654" s="5"/>
      <c r="AI654" s="5"/>
      <c r="AJ654" s="5"/>
      <c r="AK654" s="5"/>
      <c r="AL654" s="5"/>
      <c r="AM654" s="5"/>
      <c r="AN654" s="5"/>
    </row>
    <row r="655" spans="1:40" ht="12.75" x14ac:dyDescent="0.3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8"/>
      <c r="AE655" s="5"/>
      <c r="AF655" s="8"/>
      <c r="AG655" s="4"/>
      <c r="AH655" s="5"/>
      <c r="AI655" s="5"/>
      <c r="AJ655" s="5"/>
      <c r="AK655" s="5"/>
      <c r="AL655" s="5"/>
      <c r="AM655" s="5"/>
      <c r="AN655" s="5"/>
    </row>
    <row r="656" spans="1:40" ht="12.75" x14ac:dyDescent="0.3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8"/>
      <c r="AE656" s="5"/>
      <c r="AF656" s="8"/>
      <c r="AG656" s="4"/>
      <c r="AH656" s="5"/>
      <c r="AI656" s="5"/>
      <c r="AJ656" s="5"/>
      <c r="AK656" s="5"/>
      <c r="AL656" s="5"/>
      <c r="AM656" s="5"/>
      <c r="AN656" s="5"/>
    </row>
    <row r="657" spans="1:40" ht="12.75" x14ac:dyDescent="0.3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8"/>
      <c r="AE657" s="5"/>
      <c r="AF657" s="8"/>
      <c r="AG657" s="4"/>
      <c r="AH657" s="5"/>
      <c r="AI657" s="5"/>
      <c r="AJ657" s="5"/>
      <c r="AK657" s="5"/>
      <c r="AL657" s="5"/>
      <c r="AM657" s="5"/>
      <c r="AN657" s="5"/>
    </row>
    <row r="658" spans="1:40" ht="12.75" x14ac:dyDescent="0.3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8"/>
      <c r="AE658" s="5"/>
      <c r="AF658" s="8"/>
      <c r="AG658" s="4"/>
      <c r="AH658" s="5"/>
      <c r="AI658" s="5"/>
      <c r="AJ658" s="5"/>
      <c r="AK658" s="5"/>
      <c r="AL658" s="5"/>
      <c r="AM658" s="5"/>
      <c r="AN658" s="5"/>
    </row>
    <row r="659" spans="1:40" ht="12.75" x14ac:dyDescent="0.3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8"/>
      <c r="AE659" s="5"/>
      <c r="AF659" s="8"/>
      <c r="AG659" s="4"/>
      <c r="AH659" s="5"/>
      <c r="AI659" s="5"/>
      <c r="AJ659" s="5"/>
      <c r="AK659" s="5"/>
      <c r="AL659" s="5"/>
      <c r="AM659" s="5"/>
      <c r="AN659" s="5"/>
    </row>
    <row r="660" spans="1:40" ht="12.75" x14ac:dyDescent="0.3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8"/>
      <c r="AE660" s="5"/>
      <c r="AF660" s="8"/>
      <c r="AG660" s="4"/>
      <c r="AH660" s="5"/>
      <c r="AI660" s="5"/>
      <c r="AJ660" s="5"/>
      <c r="AK660" s="5"/>
      <c r="AL660" s="5"/>
      <c r="AM660" s="5"/>
      <c r="AN660" s="5"/>
    </row>
    <row r="661" spans="1:40" ht="12.75" x14ac:dyDescent="0.3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8"/>
      <c r="AE661" s="5"/>
      <c r="AF661" s="8"/>
      <c r="AG661" s="4"/>
      <c r="AH661" s="5"/>
      <c r="AI661" s="5"/>
      <c r="AJ661" s="5"/>
      <c r="AK661" s="5"/>
      <c r="AL661" s="5"/>
      <c r="AM661" s="5"/>
      <c r="AN661" s="5"/>
    </row>
    <row r="662" spans="1:40" ht="12.75" x14ac:dyDescent="0.3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8"/>
      <c r="AE662" s="5"/>
      <c r="AF662" s="8"/>
      <c r="AG662" s="4"/>
      <c r="AH662" s="5"/>
      <c r="AI662" s="5"/>
      <c r="AJ662" s="5"/>
      <c r="AK662" s="5"/>
      <c r="AL662" s="5"/>
      <c r="AM662" s="5"/>
      <c r="AN662" s="5"/>
    </row>
    <row r="663" spans="1:40" ht="12.75" x14ac:dyDescent="0.3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8"/>
      <c r="AE663" s="5"/>
      <c r="AF663" s="8"/>
      <c r="AG663" s="4"/>
      <c r="AH663" s="5"/>
      <c r="AI663" s="5"/>
      <c r="AJ663" s="5"/>
      <c r="AK663" s="5"/>
      <c r="AL663" s="5"/>
      <c r="AM663" s="5"/>
      <c r="AN663" s="5"/>
    </row>
    <row r="664" spans="1:40" ht="12.75" x14ac:dyDescent="0.3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8"/>
      <c r="AE664" s="5"/>
      <c r="AF664" s="8"/>
      <c r="AG664" s="4"/>
      <c r="AH664" s="5"/>
      <c r="AI664" s="5"/>
      <c r="AJ664" s="5"/>
      <c r="AK664" s="5"/>
      <c r="AL664" s="5"/>
      <c r="AM664" s="5"/>
      <c r="AN664" s="5"/>
    </row>
    <row r="665" spans="1:40" ht="12.75" x14ac:dyDescent="0.3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8"/>
      <c r="AE665" s="5"/>
      <c r="AF665" s="8"/>
      <c r="AG665" s="4"/>
      <c r="AH665" s="5"/>
      <c r="AI665" s="5"/>
      <c r="AJ665" s="5"/>
      <c r="AK665" s="5"/>
      <c r="AL665" s="5"/>
      <c r="AM665" s="5"/>
      <c r="AN665" s="5"/>
    </row>
    <row r="666" spans="1:40" ht="12.75" x14ac:dyDescent="0.3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8"/>
      <c r="AE666" s="5"/>
      <c r="AF666" s="8"/>
      <c r="AG666" s="4"/>
      <c r="AH666" s="5"/>
      <c r="AI666" s="5"/>
      <c r="AJ666" s="5"/>
      <c r="AK666" s="5"/>
      <c r="AL666" s="5"/>
      <c r="AM666" s="5"/>
      <c r="AN666" s="5"/>
    </row>
    <row r="667" spans="1:40" ht="12.75" x14ac:dyDescent="0.3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8"/>
      <c r="AE667" s="5"/>
      <c r="AF667" s="8"/>
      <c r="AG667" s="4"/>
      <c r="AH667" s="5"/>
      <c r="AI667" s="5"/>
      <c r="AJ667" s="5"/>
      <c r="AK667" s="5"/>
      <c r="AL667" s="5"/>
      <c r="AM667" s="5"/>
      <c r="AN667" s="5"/>
    </row>
    <row r="668" spans="1:40" ht="12.75" x14ac:dyDescent="0.3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8"/>
      <c r="AE668" s="5"/>
      <c r="AF668" s="8"/>
      <c r="AG668" s="4"/>
      <c r="AH668" s="5"/>
      <c r="AI668" s="5"/>
      <c r="AJ668" s="5"/>
      <c r="AK668" s="5"/>
      <c r="AL668" s="5"/>
      <c r="AM668" s="5"/>
      <c r="AN668" s="5"/>
    </row>
    <row r="669" spans="1:40" ht="12.75" x14ac:dyDescent="0.3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8"/>
      <c r="AE669" s="5"/>
      <c r="AF669" s="8"/>
      <c r="AG669" s="4"/>
      <c r="AH669" s="5"/>
      <c r="AI669" s="5"/>
      <c r="AJ669" s="5"/>
      <c r="AK669" s="5"/>
      <c r="AL669" s="5"/>
      <c r="AM669" s="5"/>
      <c r="AN669" s="5"/>
    </row>
    <row r="670" spans="1:40" ht="12.75" x14ac:dyDescent="0.3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8"/>
      <c r="AE670" s="5"/>
      <c r="AF670" s="8"/>
      <c r="AG670" s="4"/>
      <c r="AH670" s="5"/>
      <c r="AI670" s="5"/>
      <c r="AJ670" s="5"/>
      <c r="AK670" s="5"/>
      <c r="AL670" s="5"/>
      <c r="AM670" s="5"/>
      <c r="AN670" s="5"/>
    </row>
    <row r="671" spans="1:40" ht="12.75" x14ac:dyDescent="0.3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8"/>
      <c r="AE671" s="5"/>
      <c r="AF671" s="8"/>
      <c r="AG671" s="4"/>
      <c r="AH671" s="5"/>
      <c r="AI671" s="5"/>
      <c r="AJ671" s="5"/>
      <c r="AK671" s="5"/>
      <c r="AL671" s="5"/>
      <c r="AM671" s="5"/>
      <c r="AN671" s="5"/>
    </row>
    <row r="672" spans="1:40" ht="12.75" x14ac:dyDescent="0.3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8"/>
      <c r="AE672" s="5"/>
      <c r="AF672" s="8"/>
      <c r="AG672" s="4"/>
      <c r="AH672" s="5"/>
      <c r="AI672" s="5"/>
      <c r="AJ672" s="5"/>
      <c r="AK672" s="5"/>
      <c r="AL672" s="5"/>
      <c r="AM672" s="5"/>
      <c r="AN672" s="5"/>
    </row>
    <row r="673" spans="1:40" ht="12.75" x14ac:dyDescent="0.3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8"/>
      <c r="AE673" s="5"/>
      <c r="AF673" s="8"/>
      <c r="AG673" s="4"/>
      <c r="AH673" s="5"/>
      <c r="AI673" s="5"/>
      <c r="AJ673" s="5"/>
      <c r="AK673" s="5"/>
      <c r="AL673" s="5"/>
      <c r="AM673" s="5"/>
      <c r="AN673" s="5"/>
    </row>
    <row r="674" spans="1:40" ht="12.75" x14ac:dyDescent="0.3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8"/>
      <c r="AE674" s="5"/>
      <c r="AF674" s="8"/>
      <c r="AG674" s="4"/>
      <c r="AH674" s="5"/>
      <c r="AI674" s="5"/>
      <c r="AJ674" s="5"/>
      <c r="AK674" s="5"/>
      <c r="AL674" s="5"/>
      <c r="AM674" s="5"/>
      <c r="AN674" s="5"/>
    </row>
    <row r="675" spans="1:40" ht="12.75" x14ac:dyDescent="0.3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8"/>
      <c r="AE675" s="5"/>
      <c r="AF675" s="8"/>
      <c r="AG675" s="4"/>
      <c r="AH675" s="5"/>
      <c r="AI675" s="5"/>
      <c r="AJ675" s="5"/>
      <c r="AK675" s="5"/>
      <c r="AL675" s="5"/>
      <c r="AM675" s="5"/>
      <c r="AN675" s="5"/>
    </row>
    <row r="676" spans="1:40" ht="12.75" x14ac:dyDescent="0.3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8"/>
      <c r="AE676" s="5"/>
      <c r="AF676" s="8"/>
      <c r="AG676" s="4"/>
      <c r="AH676" s="5"/>
      <c r="AI676" s="5"/>
      <c r="AJ676" s="5"/>
      <c r="AK676" s="5"/>
      <c r="AL676" s="5"/>
      <c r="AM676" s="5"/>
      <c r="AN676" s="5"/>
    </row>
    <row r="677" spans="1:40" ht="12.75" x14ac:dyDescent="0.3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8"/>
      <c r="AE677" s="5"/>
      <c r="AF677" s="8"/>
      <c r="AG677" s="4"/>
      <c r="AH677" s="5"/>
      <c r="AI677" s="5"/>
      <c r="AJ677" s="5"/>
      <c r="AK677" s="5"/>
      <c r="AL677" s="5"/>
      <c r="AM677" s="5"/>
      <c r="AN677" s="5"/>
    </row>
    <row r="678" spans="1:40" ht="12.75" x14ac:dyDescent="0.3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8"/>
      <c r="AE678" s="5"/>
      <c r="AF678" s="8"/>
      <c r="AG678" s="4"/>
      <c r="AH678" s="5"/>
      <c r="AI678" s="5"/>
      <c r="AJ678" s="5"/>
      <c r="AK678" s="5"/>
      <c r="AL678" s="5"/>
      <c r="AM678" s="5"/>
      <c r="AN678" s="5"/>
    </row>
    <row r="679" spans="1:40" ht="12.75" x14ac:dyDescent="0.3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8"/>
      <c r="AE679" s="5"/>
      <c r="AF679" s="8"/>
      <c r="AG679" s="4"/>
      <c r="AH679" s="5"/>
      <c r="AI679" s="5"/>
      <c r="AJ679" s="5"/>
      <c r="AK679" s="5"/>
      <c r="AL679" s="5"/>
      <c r="AM679" s="5"/>
      <c r="AN679" s="5"/>
    </row>
    <row r="680" spans="1:40" ht="12.75" x14ac:dyDescent="0.3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8"/>
      <c r="AE680" s="5"/>
      <c r="AF680" s="8"/>
      <c r="AG680" s="4"/>
      <c r="AH680" s="5"/>
      <c r="AI680" s="5"/>
      <c r="AJ680" s="5"/>
      <c r="AK680" s="5"/>
      <c r="AL680" s="5"/>
      <c r="AM680" s="5"/>
      <c r="AN680" s="5"/>
    </row>
    <row r="681" spans="1:40" ht="12.75" x14ac:dyDescent="0.3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8"/>
      <c r="AE681" s="5"/>
      <c r="AF681" s="8"/>
      <c r="AG681" s="4"/>
      <c r="AH681" s="5"/>
      <c r="AI681" s="5"/>
      <c r="AJ681" s="5"/>
      <c r="AK681" s="5"/>
      <c r="AL681" s="5"/>
      <c r="AM681" s="5"/>
      <c r="AN681" s="5"/>
    </row>
    <row r="682" spans="1:40" ht="12.75" x14ac:dyDescent="0.3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8"/>
      <c r="AE682" s="5"/>
      <c r="AF682" s="8"/>
      <c r="AG682" s="4"/>
      <c r="AH682" s="5"/>
      <c r="AI682" s="5"/>
      <c r="AJ682" s="5"/>
      <c r="AK682" s="5"/>
      <c r="AL682" s="5"/>
      <c r="AM682" s="5"/>
      <c r="AN682" s="5"/>
    </row>
    <row r="683" spans="1:40" ht="12.75" x14ac:dyDescent="0.3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8"/>
      <c r="AE683" s="5"/>
      <c r="AF683" s="8"/>
      <c r="AG683" s="4"/>
      <c r="AH683" s="5"/>
      <c r="AI683" s="5"/>
      <c r="AJ683" s="5"/>
      <c r="AK683" s="5"/>
      <c r="AL683" s="5"/>
      <c r="AM683" s="5"/>
      <c r="AN683" s="5"/>
    </row>
    <row r="684" spans="1:40" ht="12.75" x14ac:dyDescent="0.3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8"/>
      <c r="AE684" s="5"/>
      <c r="AF684" s="8"/>
      <c r="AG684" s="4"/>
      <c r="AH684" s="5"/>
      <c r="AI684" s="5"/>
      <c r="AJ684" s="5"/>
      <c r="AK684" s="5"/>
      <c r="AL684" s="5"/>
      <c r="AM684" s="5"/>
      <c r="AN684" s="5"/>
    </row>
    <row r="685" spans="1:40" ht="12.75" x14ac:dyDescent="0.3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8"/>
      <c r="AE685" s="5"/>
      <c r="AF685" s="8"/>
      <c r="AG685" s="4"/>
      <c r="AH685" s="5"/>
      <c r="AI685" s="5"/>
      <c r="AJ685" s="5"/>
      <c r="AK685" s="5"/>
      <c r="AL685" s="5"/>
      <c r="AM685" s="5"/>
      <c r="AN685" s="5"/>
    </row>
    <row r="686" spans="1:40" ht="12.75" x14ac:dyDescent="0.3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8"/>
      <c r="AE686" s="5"/>
      <c r="AF686" s="8"/>
      <c r="AG686" s="4"/>
      <c r="AH686" s="5"/>
      <c r="AI686" s="5"/>
      <c r="AJ686" s="5"/>
      <c r="AK686" s="5"/>
      <c r="AL686" s="5"/>
      <c r="AM686" s="5"/>
      <c r="AN686" s="5"/>
    </row>
    <row r="687" spans="1:40" ht="12.75" x14ac:dyDescent="0.3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8"/>
      <c r="AE687" s="5"/>
      <c r="AF687" s="8"/>
      <c r="AG687" s="4"/>
      <c r="AH687" s="5"/>
      <c r="AI687" s="5"/>
      <c r="AJ687" s="5"/>
      <c r="AK687" s="5"/>
      <c r="AL687" s="5"/>
      <c r="AM687" s="5"/>
      <c r="AN687" s="5"/>
    </row>
    <row r="688" spans="1:40" ht="12.75" x14ac:dyDescent="0.3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8"/>
      <c r="AE688" s="5"/>
      <c r="AF688" s="8"/>
      <c r="AG688" s="4"/>
      <c r="AH688" s="5"/>
      <c r="AI688" s="5"/>
      <c r="AJ688" s="5"/>
      <c r="AK688" s="5"/>
      <c r="AL688" s="5"/>
      <c r="AM688" s="5"/>
      <c r="AN688" s="5"/>
    </row>
    <row r="689" spans="1:40" ht="12.75" x14ac:dyDescent="0.3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8"/>
      <c r="AE689" s="5"/>
      <c r="AF689" s="8"/>
      <c r="AG689" s="4"/>
      <c r="AH689" s="5"/>
      <c r="AI689" s="5"/>
      <c r="AJ689" s="5"/>
      <c r="AK689" s="5"/>
      <c r="AL689" s="5"/>
      <c r="AM689" s="5"/>
      <c r="AN689" s="5"/>
    </row>
    <row r="690" spans="1:40" ht="12.75" x14ac:dyDescent="0.3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8"/>
      <c r="AE690" s="5"/>
      <c r="AF690" s="8"/>
      <c r="AG690" s="4"/>
      <c r="AH690" s="5"/>
      <c r="AI690" s="5"/>
      <c r="AJ690" s="5"/>
      <c r="AK690" s="5"/>
      <c r="AL690" s="5"/>
      <c r="AM690" s="5"/>
      <c r="AN690" s="5"/>
    </row>
    <row r="691" spans="1:40" ht="12.75" x14ac:dyDescent="0.3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8"/>
      <c r="AE691" s="5"/>
      <c r="AF691" s="8"/>
      <c r="AG691" s="4"/>
      <c r="AH691" s="5"/>
      <c r="AI691" s="5"/>
      <c r="AJ691" s="5"/>
      <c r="AK691" s="5"/>
      <c r="AL691" s="5"/>
      <c r="AM691" s="5"/>
      <c r="AN691" s="5"/>
    </row>
    <row r="692" spans="1:40" ht="12.75" x14ac:dyDescent="0.3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8"/>
      <c r="AE692" s="5"/>
      <c r="AF692" s="8"/>
      <c r="AG692" s="4"/>
      <c r="AH692" s="5"/>
      <c r="AI692" s="5"/>
      <c r="AJ692" s="5"/>
      <c r="AK692" s="5"/>
      <c r="AL692" s="5"/>
      <c r="AM692" s="5"/>
      <c r="AN692" s="5"/>
    </row>
    <row r="693" spans="1:40" ht="12.75" x14ac:dyDescent="0.3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8"/>
      <c r="AE693" s="5"/>
      <c r="AF693" s="8"/>
      <c r="AG693" s="4"/>
      <c r="AH693" s="5"/>
      <c r="AI693" s="5"/>
      <c r="AJ693" s="5"/>
      <c r="AK693" s="5"/>
      <c r="AL693" s="5"/>
      <c r="AM693" s="5"/>
      <c r="AN693" s="5"/>
    </row>
    <row r="694" spans="1:40" ht="12.75" x14ac:dyDescent="0.3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8"/>
      <c r="AE694" s="5"/>
      <c r="AF694" s="8"/>
      <c r="AG694" s="4"/>
      <c r="AH694" s="5"/>
      <c r="AI694" s="5"/>
      <c r="AJ694" s="5"/>
      <c r="AK694" s="5"/>
      <c r="AL694" s="5"/>
      <c r="AM694" s="5"/>
      <c r="AN694" s="5"/>
    </row>
    <row r="695" spans="1:40" ht="12.75" x14ac:dyDescent="0.3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8"/>
      <c r="AE695" s="5"/>
      <c r="AF695" s="8"/>
      <c r="AG695" s="4"/>
      <c r="AH695" s="5"/>
      <c r="AI695" s="5"/>
      <c r="AJ695" s="5"/>
      <c r="AK695" s="5"/>
      <c r="AL695" s="5"/>
      <c r="AM695" s="5"/>
      <c r="AN695" s="5"/>
    </row>
    <row r="696" spans="1:40" ht="12.75" x14ac:dyDescent="0.3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8"/>
      <c r="AE696" s="5"/>
      <c r="AF696" s="8"/>
      <c r="AG696" s="4"/>
      <c r="AH696" s="5"/>
      <c r="AI696" s="5"/>
      <c r="AJ696" s="5"/>
      <c r="AK696" s="5"/>
      <c r="AL696" s="5"/>
      <c r="AM696" s="5"/>
      <c r="AN696" s="5"/>
    </row>
    <row r="697" spans="1:40" ht="12.75" x14ac:dyDescent="0.3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8"/>
      <c r="AE697" s="5"/>
      <c r="AF697" s="8"/>
      <c r="AG697" s="4"/>
      <c r="AH697" s="5"/>
      <c r="AI697" s="5"/>
      <c r="AJ697" s="5"/>
      <c r="AK697" s="5"/>
      <c r="AL697" s="5"/>
      <c r="AM697" s="5"/>
      <c r="AN697" s="5"/>
    </row>
    <row r="698" spans="1:40" ht="12.75" x14ac:dyDescent="0.3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8"/>
      <c r="AE698" s="5"/>
      <c r="AF698" s="8"/>
      <c r="AG698" s="4"/>
      <c r="AH698" s="5"/>
      <c r="AI698" s="5"/>
      <c r="AJ698" s="5"/>
      <c r="AK698" s="5"/>
      <c r="AL698" s="5"/>
      <c r="AM698" s="5"/>
      <c r="AN698" s="5"/>
    </row>
    <row r="699" spans="1:40" ht="12.75" x14ac:dyDescent="0.3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8"/>
      <c r="AE699" s="5"/>
      <c r="AF699" s="8"/>
      <c r="AG699" s="4"/>
      <c r="AH699" s="5"/>
      <c r="AI699" s="5"/>
      <c r="AJ699" s="5"/>
      <c r="AK699" s="5"/>
      <c r="AL699" s="5"/>
      <c r="AM699" s="5"/>
      <c r="AN699" s="5"/>
    </row>
    <row r="700" spans="1:40" ht="12.75" x14ac:dyDescent="0.3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8"/>
      <c r="AE700" s="5"/>
      <c r="AF700" s="8"/>
      <c r="AG700" s="4"/>
      <c r="AH700" s="5"/>
      <c r="AI700" s="5"/>
      <c r="AJ700" s="5"/>
      <c r="AK700" s="5"/>
      <c r="AL700" s="5"/>
      <c r="AM700" s="5"/>
      <c r="AN700" s="5"/>
    </row>
    <row r="701" spans="1:40" ht="12.75" x14ac:dyDescent="0.3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8"/>
      <c r="AE701" s="5"/>
      <c r="AF701" s="8"/>
      <c r="AG701" s="4"/>
      <c r="AH701" s="5"/>
      <c r="AI701" s="5"/>
      <c r="AJ701" s="5"/>
      <c r="AK701" s="5"/>
      <c r="AL701" s="5"/>
      <c r="AM701" s="5"/>
      <c r="AN701" s="5"/>
    </row>
    <row r="702" spans="1:40" ht="12.75" x14ac:dyDescent="0.3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8"/>
      <c r="AE702" s="5"/>
      <c r="AF702" s="8"/>
      <c r="AG702" s="4"/>
      <c r="AH702" s="5"/>
      <c r="AI702" s="5"/>
      <c r="AJ702" s="5"/>
      <c r="AK702" s="5"/>
      <c r="AL702" s="5"/>
      <c r="AM702" s="5"/>
      <c r="AN702" s="5"/>
    </row>
    <row r="703" spans="1:40" ht="12.75" x14ac:dyDescent="0.3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8"/>
      <c r="AE703" s="5"/>
      <c r="AF703" s="8"/>
      <c r="AG703" s="4"/>
      <c r="AH703" s="5"/>
      <c r="AI703" s="5"/>
      <c r="AJ703" s="5"/>
      <c r="AK703" s="5"/>
      <c r="AL703" s="5"/>
      <c r="AM703" s="5"/>
      <c r="AN703" s="5"/>
    </row>
    <row r="704" spans="1:40" ht="12.75" x14ac:dyDescent="0.3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8"/>
      <c r="AE704" s="5"/>
      <c r="AF704" s="8"/>
      <c r="AG704" s="4"/>
      <c r="AH704" s="5"/>
      <c r="AI704" s="5"/>
      <c r="AJ704" s="5"/>
      <c r="AK704" s="5"/>
      <c r="AL704" s="5"/>
      <c r="AM704" s="5"/>
      <c r="AN704" s="5"/>
    </row>
    <row r="705" spans="1:40" ht="12.75" x14ac:dyDescent="0.3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8"/>
      <c r="AE705" s="5"/>
      <c r="AF705" s="8"/>
      <c r="AG705" s="4"/>
      <c r="AH705" s="5"/>
      <c r="AI705" s="5"/>
      <c r="AJ705" s="5"/>
      <c r="AK705" s="5"/>
      <c r="AL705" s="5"/>
      <c r="AM705" s="5"/>
      <c r="AN705" s="5"/>
    </row>
    <row r="706" spans="1:40" ht="12.75" x14ac:dyDescent="0.3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8"/>
      <c r="AE706" s="5"/>
      <c r="AF706" s="8"/>
      <c r="AG706" s="4"/>
      <c r="AH706" s="5"/>
      <c r="AI706" s="5"/>
      <c r="AJ706" s="5"/>
      <c r="AK706" s="5"/>
      <c r="AL706" s="5"/>
      <c r="AM706" s="5"/>
      <c r="AN706" s="5"/>
    </row>
    <row r="707" spans="1:40" ht="12.75" x14ac:dyDescent="0.3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8"/>
      <c r="AE707" s="5"/>
      <c r="AF707" s="8"/>
      <c r="AG707" s="4"/>
      <c r="AH707" s="5"/>
      <c r="AI707" s="5"/>
      <c r="AJ707" s="5"/>
      <c r="AK707" s="5"/>
      <c r="AL707" s="5"/>
      <c r="AM707" s="5"/>
      <c r="AN707" s="5"/>
    </row>
    <row r="708" spans="1:40" ht="12.75" x14ac:dyDescent="0.3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8"/>
      <c r="AE708" s="5"/>
      <c r="AF708" s="8"/>
      <c r="AG708" s="4"/>
      <c r="AH708" s="5"/>
      <c r="AI708" s="5"/>
      <c r="AJ708" s="5"/>
      <c r="AK708" s="5"/>
      <c r="AL708" s="5"/>
      <c r="AM708" s="5"/>
      <c r="AN708" s="5"/>
    </row>
    <row r="709" spans="1:40" ht="12.75" x14ac:dyDescent="0.3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8"/>
      <c r="AE709" s="5"/>
      <c r="AF709" s="8"/>
      <c r="AG709" s="4"/>
      <c r="AH709" s="5"/>
      <c r="AI709" s="5"/>
      <c r="AJ709" s="5"/>
      <c r="AK709" s="5"/>
      <c r="AL709" s="5"/>
      <c r="AM709" s="5"/>
      <c r="AN709" s="5"/>
    </row>
    <row r="710" spans="1:40" ht="12.75" x14ac:dyDescent="0.3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8"/>
      <c r="AE710" s="5"/>
      <c r="AF710" s="8"/>
      <c r="AG710" s="4"/>
      <c r="AH710" s="5"/>
      <c r="AI710" s="5"/>
      <c r="AJ710" s="5"/>
      <c r="AK710" s="5"/>
      <c r="AL710" s="5"/>
      <c r="AM710" s="5"/>
      <c r="AN710" s="5"/>
    </row>
    <row r="711" spans="1:40" ht="12.75" x14ac:dyDescent="0.3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8"/>
      <c r="AE711" s="5"/>
      <c r="AF711" s="8"/>
      <c r="AG711" s="4"/>
      <c r="AH711" s="5"/>
      <c r="AI711" s="5"/>
      <c r="AJ711" s="5"/>
      <c r="AK711" s="5"/>
      <c r="AL711" s="5"/>
      <c r="AM711" s="5"/>
      <c r="AN711" s="5"/>
    </row>
    <row r="712" spans="1:40" ht="12.75" x14ac:dyDescent="0.3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8"/>
      <c r="AE712" s="5"/>
      <c r="AF712" s="8"/>
      <c r="AG712" s="4"/>
      <c r="AH712" s="5"/>
      <c r="AI712" s="5"/>
      <c r="AJ712" s="5"/>
      <c r="AK712" s="5"/>
      <c r="AL712" s="5"/>
      <c r="AM712" s="5"/>
      <c r="AN712" s="5"/>
    </row>
    <row r="713" spans="1:40" ht="12.75" x14ac:dyDescent="0.3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8"/>
      <c r="AE713" s="5"/>
      <c r="AF713" s="8"/>
      <c r="AG713" s="4"/>
      <c r="AH713" s="5"/>
      <c r="AI713" s="5"/>
      <c r="AJ713" s="5"/>
      <c r="AK713" s="5"/>
      <c r="AL713" s="5"/>
      <c r="AM713" s="5"/>
      <c r="AN713" s="5"/>
    </row>
    <row r="714" spans="1:40" ht="12.75" x14ac:dyDescent="0.3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8"/>
      <c r="AE714" s="5"/>
      <c r="AF714" s="8"/>
      <c r="AG714" s="4"/>
      <c r="AH714" s="5"/>
      <c r="AI714" s="5"/>
      <c r="AJ714" s="5"/>
      <c r="AK714" s="5"/>
      <c r="AL714" s="5"/>
      <c r="AM714" s="5"/>
      <c r="AN714" s="5"/>
    </row>
    <row r="715" spans="1:40" ht="12.75" x14ac:dyDescent="0.3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8"/>
      <c r="AE715" s="5"/>
      <c r="AF715" s="8"/>
      <c r="AG715" s="4"/>
      <c r="AH715" s="5"/>
      <c r="AI715" s="5"/>
      <c r="AJ715" s="5"/>
      <c r="AK715" s="5"/>
      <c r="AL715" s="5"/>
      <c r="AM715" s="5"/>
      <c r="AN715" s="5"/>
    </row>
    <row r="716" spans="1:40" ht="12.75" x14ac:dyDescent="0.3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8"/>
      <c r="AE716" s="5"/>
      <c r="AF716" s="8"/>
      <c r="AG716" s="4"/>
      <c r="AH716" s="5"/>
      <c r="AI716" s="5"/>
      <c r="AJ716" s="5"/>
      <c r="AK716" s="5"/>
      <c r="AL716" s="5"/>
      <c r="AM716" s="5"/>
      <c r="AN716" s="5"/>
    </row>
    <row r="717" spans="1:40" ht="12.75" x14ac:dyDescent="0.3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8"/>
      <c r="AE717" s="5"/>
      <c r="AF717" s="8"/>
      <c r="AG717" s="4"/>
      <c r="AH717" s="5"/>
      <c r="AI717" s="5"/>
      <c r="AJ717" s="5"/>
      <c r="AK717" s="5"/>
      <c r="AL717" s="5"/>
      <c r="AM717" s="5"/>
      <c r="AN717" s="5"/>
    </row>
    <row r="718" spans="1:40" ht="12.75" x14ac:dyDescent="0.3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8"/>
      <c r="AE718" s="5"/>
      <c r="AF718" s="8"/>
      <c r="AG718" s="4"/>
      <c r="AH718" s="5"/>
      <c r="AI718" s="5"/>
      <c r="AJ718" s="5"/>
      <c r="AK718" s="5"/>
      <c r="AL718" s="5"/>
      <c r="AM718" s="5"/>
      <c r="AN718" s="5"/>
    </row>
    <row r="719" spans="1:40" ht="12.75" x14ac:dyDescent="0.3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8"/>
      <c r="AE719" s="5"/>
      <c r="AF719" s="8"/>
      <c r="AG719" s="4"/>
      <c r="AH719" s="5"/>
      <c r="AI719" s="5"/>
      <c r="AJ719" s="5"/>
      <c r="AK719" s="5"/>
      <c r="AL719" s="5"/>
      <c r="AM719" s="5"/>
      <c r="AN719" s="5"/>
    </row>
    <row r="720" spans="1:40" ht="12.75" x14ac:dyDescent="0.3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8"/>
      <c r="AE720" s="5"/>
      <c r="AF720" s="8"/>
      <c r="AG720" s="4"/>
      <c r="AH720" s="5"/>
      <c r="AI720" s="5"/>
      <c r="AJ720" s="5"/>
      <c r="AK720" s="5"/>
      <c r="AL720" s="5"/>
      <c r="AM720" s="5"/>
      <c r="AN720" s="5"/>
    </row>
    <row r="721" spans="1:40" ht="12.75" x14ac:dyDescent="0.3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8"/>
      <c r="AE721" s="5"/>
      <c r="AF721" s="8"/>
      <c r="AG721" s="4"/>
      <c r="AH721" s="5"/>
      <c r="AI721" s="5"/>
      <c r="AJ721" s="5"/>
      <c r="AK721" s="5"/>
      <c r="AL721" s="5"/>
      <c r="AM721" s="5"/>
      <c r="AN721" s="5"/>
    </row>
    <row r="722" spans="1:40" ht="12.75" x14ac:dyDescent="0.3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8"/>
      <c r="AE722" s="5"/>
      <c r="AF722" s="8"/>
      <c r="AG722" s="4"/>
      <c r="AH722" s="5"/>
      <c r="AI722" s="5"/>
      <c r="AJ722" s="5"/>
      <c r="AK722" s="5"/>
      <c r="AL722" s="5"/>
      <c r="AM722" s="5"/>
      <c r="AN722" s="5"/>
    </row>
    <row r="723" spans="1:40" ht="12.75" x14ac:dyDescent="0.3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8"/>
      <c r="AE723" s="5"/>
      <c r="AF723" s="8"/>
      <c r="AG723" s="4"/>
      <c r="AH723" s="5"/>
      <c r="AI723" s="5"/>
      <c r="AJ723" s="5"/>
      <c r="AK723" s="5"/>
      <c r="AL723" s="5"/>
      <c r="AM723" s="5"/>
      <c r="AN723" s="5"/>
    </row>
    <row r="724" spans="1:40" ht="12.75" x14ac:dyDescent="0.3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8"/>
      <c r="AE724" s="5"/>
      <c r="AF724" s="8"/>
      <c r="AG724" s="4"/>
      <c r="AH724" s="5"/>
      <c r="AI724" s="5"/>
      <c r="AJ724" s="5"/>
      <c r="AK724" s="5"/>
      <c r="AL724" s="5"/>
      <c r="AM724" s="5"/>
      <c r="AN724" s="5"/>
    </row>
    <row r="725" spans="1:40" ht="12.75" x14ac:dyDescent="0.3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8"/>
      <c r="AE725" s="5"/>
      <c r="AF725" s="8"/>
      <c r="AG725" s="4"/>
      <c r="AH725" s="5"/>
      <c r="AI725" s="5"/>
      <c r="AJ725" s="5"/>
      <c r="AK725" s="5"/>
      <c r="AL725" s="5"/>
      <c r="AM725" s="5"/>
      <c r="AN725" s="5"/>
    </row>
    <row r="726" spans="1:40" ht="12.75" x14ac:dyDescent="0.3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8"/>
      <c r="AE726" s="5"/>
      <c r="AF726" s="8"/>
      <c r="AG726" s="4"/>
      <c r="AH726" s="5"/>
      <c r="AI726" s="5"/>
      <c r="AJ726" s="5"/>
      <c r="AK726" s="5"/>
      <c r="AL726" s="5"/>
      <c r="AM726" s="5"/>
      <c r="AN726" s="5"/>
    </row>
    <row r="727" spans="1:40" ht="12.75" x14ac:dyDescent="0.3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8"/>
      <c r="AE727" s="5"/>
      <c r="AF727" s="8"/>
      <c r="AG727" s="4"/>
      <c r="AH727" s="5"/>
      <c r="AI727" s="5"/>
      <c r="AJ727" s="5"/>
      <c r="AK727" s="5"/>
      <c r="AL727" s="5"/>
      <c r="AM727" s="5"/>
      <c r="AN727" s="5"/>
    </row>
    <row r="728" spans="1:40" ht="12.75" x14ac:dyDescent="0.3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8"/>
      <c r="AE728" s="5"/>
      <c r="AF728" s="8"/>
      <c r="AG728" s="4"/>
      <c r="AH728" s="5"/>
      <c r="AI728" s="5"/>
      <c r="AJ728" s="5"/>
      <c r="AK728" s="5"/>
      <c r="AL728" s="5"/>
      <c r="AM728" s="5"/>
      <c r="AN728" s="5"/>
    </row>
    <row r="729" spans="1:40" ht="12.75" x14ac:dyDescent="0.3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8"/>
      <c r="AE729" s="5"/>
      <c r="AF729" s="8"/>
      <c r="AG729" s="4"/>
      <c r="AH729" s="5"/>
      <c r="AI729" s="5"/>
      <c r="AJ729" s="5"/>
      <c r="AK729" s="5"/>
      <c r="AL729" s="5"/>
      <c r="AM729" s="5"/>
      <c r="AN729" s="5"/>
    </row>
    <row r="730" spans="1:40" ht="12.75" x14ac:dyDescent="0.3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8"/>
      <c r="AE730" s="5"/>
      <c r="AF730" s="8"/>
      <c r="AG730" s="4"/>
      <c r="AH730" s="5"/>
      <c r="AI730" s="5"/>
      <c r="AJ730" s="5"/>
      <c r="AK730" s="5"/>
      <c r="AL730" s="5"/>
      <c r="AM730" s="5"/>
      <c r="AN730" s="5"/>
    </row>
    <row r="731" spans="1:40" ht="12.75" x14ac:dyDescent="0.3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8"/>
      <c r="AE731" s="5"/>
      <c r="AF731" s="8"/>
      <c r="AG731" s="4"/>
      <c r="AH731" s="5"/>
      <c r="AI731" s="5"/>
      <c r="AJ731" s="5"/>
      <c r="AK731" s="5"/>
      <c r="AL731" s="5"/>
      <c r="AM731" s="5"/>
      <c r="AN731" s="5"/>
    </row>
    <row r="732" spans="1:40" ht="12.75" x14ac:dyDescent="0.3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8"/>
      <c r="AE732" s="5"/>
      <c r="AF732" s="8"/>
      <c r="AG732" s="4"/>
      <c r="AH732" s="5"/>
      <c r="AI732" s="5"/>
      <c r="AJ732" s="5"/>
      <c r="AK732" s="5"/>
      <c r="AL732" s="5"/>
      <c r="AM732" s="5"/>
      <c r="AN732" s="5"/>
    </row>
    <row r="733" spans="1:40" ht="12.75" x14ac:dyDescent="0.3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8"/>
      <c r="AE733" s="5"/>
      <c r="AF733" s="8"/>
      <c r="AG733" s="4"/>
      <c r="AH733" s="5"/>
      <c r="AI733" s="5"/>
      <c r="AJ733" s="5"/>
      <c r="AK733" s="5"/>
      <c r="AL733" s="5"/>
      <c r="AM733" s="5"/>
      <c r="AN733" s="5"/>
    </row>
    <row r="734" spans="1:40" ht="12.75" x14ac:dyDescent="0.3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8"/>
      <c r="AE734" s="5"/>
      <c r="AF734" s="8"/>
      <c r="AG734" s="4"/>
      <c r="AH734" s="5"/>
      <c r="AI734" s="5"/>
      <c r="AJ734" s="5"/>
      <c r="AK734" s="5"/>
      <c r="AL734" s="5"/>
      <c r="AM734" s="5"/>
      <c r="AN734" s="5"/>
    </row>
    <row r="735" spans="1:40" ht="12.75" x14ac:dyDescent="0.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8"/>
      <c r="AE735" s="5"/>
      <c r="AF735" s="8"/>
      <c r="AG735" s="4"/>
      <c r="AH735" s="5"/>
      <c r="AI735" s="5"/>
      <c r="AJ735" s="5"/>
      <c r="AK735" s="5"/>
      <c r="AL735" s="5"/>
      <c r="AM735" s="5"/>
      <c r="AN735" s="5"/>
    </row>
    <row r="736" spans="1:40" ht="12.75" x14ac:dyDescent="0.3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8"/>
      <c r="AE736" s="5"/>
      <c r="AF736" s="8"/>
      <c r="AG736" s="4"/>
      <c r="AH736" s="5"/>
      <c r="AI736" s="5"/>
      <c r="AJ736" s="5"/>
      <c r="AK736" s="5"/>
      <c r="AL736" s="5"/>
      <c r="AM736" s="5"/>
      <c r="AN736" s="5"/>
    </row>
    <row r="737" spans="1:40" ht="12.75" x14ac:dyDescent="0.3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8"/>
      <c r="AE737" s="5"/>
      <c r="AF737" s="8"/>
      <c r="AG737" s="4"/>
      <c r="AH737" s="5"/>
      <c r="AI737" s="5"/>
      <c r="AJ737" s="5"/>
      <c r="AK737" s="5"/>
      <c r="AL737" s="5"/>
      <c r="AM737" s="5"/>
      <c r="AN737" s="5"/>
    </row>
    <row r="738" spans="1:40" ht="12.75" x14ac:dyDescent="0.3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8"/>
      <c r="AE738" s="5"/>
      <c r="AF738" s="8"/>
      <c r="AG738" s="4"/>
      <c r="AH738" s="5"/>
      <c r="AI738" s="5"/>
      <c r="AJ738" s="5"/>
      <c r="AK738" s="5"/>
      <c r="AL738" s="5"/>
      <c r="AM738" s="5"/>
      <c r="AN738" s="5"/>
    </row>
    <row r="739" spans="1:40" ht="12.75" x14ac:dyDescent="0.3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8"/>
      <c r="AE739" s="5"/>
      <c r="AF739" s="8"/>
      <c r="AG739" s="4"/>
      <c r="AH739" s="5"/>
      <c r="AI739" s="5"/>
      <c r="AJ739" s="5"/>
      <c r="AK739" s="5"/>
      <c r="AL739" s="5"/>
      <c r="AM739" s="5"/>
      <c r="AN739" s="5"/>
    </row>
    <row r="740" spans="1:40" ht="12.75" x14ac:dyDescent="0.3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8"/>
      <c r="AE740" s="5"/>
      <c r="AF740" s="8"/>
      <c r="AG740" s="4"/>
      <c r="AH740" s="5"/>
      <c r="AI740" s="5"/>
      <c r="AJ740" s="5"/>
      <c r="AK740" s="5"/>
      <c r="AL740" s="5"/>
      <c r="AM740" s="5"/>
      <c r="AN740" s="5"/>
    </row>
    <row r="741" spans="1:40" ht="12.75" x14ac:dyDescent="0.3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8"/>
      <c r="AE741" s="5"/>
      <c r="AF741" s="8"/>
      <c r="AG741" s="4"/>
      <c r="AH741" s="5"/>
      <c r="AI741" s="5"/>
      <c r="AJ741" s="5"/>
      <c r="AK741" s="5"/>
      <c r="AL741" s="5"/>
      <c r="AM741" s="5"/>
      <c r="AN741" s="5"/>
    </row>
    <row r="742" spans="1:40" ht="12.75" x14ac:dyDescent="0.3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8"/>
      <c r="AE742" s="5"/>
      <c r="AF742" s="8"/>
      <c r="AG742" s="4"/>
      <c r="AH742" s="5"/>
      <c r="AI742" s="5"/>
      <c r="AJ742" s="5"/>
      <c r="AK742" s="5"/>
      <c r="AL742" s="5"/>
      <c r="AM742" s="5"/>
      <c r="AN742" s="5"/>
    </row>
    <row r="743" spans="1:40" ht="12.75" x14ac:dyDescent="0.3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8"/>
      <c r="AE743" s="5"/>
      <c r="AF743" s="8"/>
      <c r="AG743" s="4"/>
      <c r="AH743" s="5"/>
      <c r="AI743" s="5"/>
      <c r="AJ743" s="5"/>
      <c r="AK743" s="5"/>
      <c r="AL743" s="5"/>
      <c r="AM743" s="5"/>
      <c r="AN743" s="5"/>
    </row>
    <row r="744" spans="1:40" ht="12.75" x14ac:dyDescent="0.3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8"/>
      <c r="AE744" s="5"/>
      <c r="AF744" s="8"/>
      <c r="AG744" s="4"/>
      <c r="AH744" s="5"/>
      <c r="AI744" s="5"/>
      <c r="AJ744" s="5"/>
      <c r="AK744" s="5"/>
      <c r="AL744" s="5"/>
      <c r="AM744" s="5"/>
      <c r="AN744" s="5"/>
    </row>
    <row r="745" spans="1:40" ht="12.75" x14ac:dyDescent="0.3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8"/>
      <c r="AE745" s="5"/>
      <c r="AF745" s="8"/>
      <c r="AG745" s="4"/>
      <c r="AH745" s="5"/>
      <c r="AI745" s="5"/>
      <c r="AJ745" s="5"/>
      <c r="AK745" s="5"/>
      <c r="AL745" s="5"/>
      <c r="AM745" s="5"/>
      <c r="AN745" s="5"/>
    </row>
    <row r="746" spans="1:40" ht="12.75" x14ac:dyDescent="0.3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8"/>
      <c r="AE746" s="5"/>
      <c r="AF746" s="8"/>
      <c r="AG746" s="4"/>
      <c r="AH746" s="5"/>
      <c r="AI746" s="5"/>
      <c r="AJ746" s="5"/>
      <c r="AK746" s="5"/>
      <c r="AL746" s="5"/>
      <c r="AM746" s="5"/>
      <c r="AN746" s="5"/>
    </row>
    <row r="747" spans="1:40" ht="12.75" x14ac:dyDescent="0.3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8"/>
      <c r="AE747" s="5"/>
      <c r="AF747" s="8"/>
      <c r="AG747" s="4"/>
      <c r="AH747" s="5"/>
      <c r="AI747" s="5"/>
      <c r="AJ747" s="5"/>
      <c r="AK747" s="5"/>
      <c r="AL747" s="5"/>
      <c r="AM747" s="5"/>
      <c r="AN747" s="5"/>
    </row>
    <row r="748" spans="1:40" ht="12.75" x14ac:dyDescent="0.3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8"/>
      <c r="AE748" s="5"/>
      <c r="AF748" s="8"/>
      <c r="AG748" s="4"/>
      <c r="AH748" s="5"/>
      <c r="AI748" s="5"/>
      <c r="AJ748" s="5"/>
      <c r="AK748" s="5"/>
      <c r="AL748" s="5"/>
      <c r="AM748" s="5"/>
      <c r="AN748" s="5"/>
    </row>
    <row r="749" spans="1:40" ht="12.75" x14ac:dyDescent="0.3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8"/>
      <c r="AE749" s="5"/>
      <c r="AF749" s="8"/>
      <c r="AG749" s="4"/>
      <c r="AH749" s="5"/>
      <c r="AI749" s="5"/>
      <c r="AJ749" s="5"/>
      <c r="AK749" s="5"/>
      <c r="AL749" s="5"/>
      <c r="AM749" s="5"/>
      <c r="AN749" s="5"/>
    </row>
    <row r="750" spans="1:40" ht="12.75" x14ac:dyDescent="0.3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8"/>
      <c r="AE750" s="5"/>
      <c r="AF750" s="8"/>
      <c r="AG750" s="4"/>
      <c r="AH750" s="5"/>
      <c r="AI750" s="5"/>
      <c r="AJ750" s="5"/>
      <c r="AK750" s="5"/>
      <c r="AL750" s="5"/>
      <c r="AM750" s="5"/>
      <c r="AN750" s="5"/>
    </row>
    <row r="751" spans="1:40" ht="12.75" x14ac:dyDescent="0.3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8"/>
      <c r="AE751" s="5"/>
      <c r="AF751" s="8"/>
      <c r="AG751" s="4"/>
      <c r="AH751" s="5"/>
      <c r="AI751" s="5"/>
      <c r="AJ751" s="5"/>
      <c r="AK751" s="5"/>
      <c r="AL751" s="5"/>
      <c r="AM751" s="5"/>
      <c r="AN751" s="5"/>
    </row>
    <row r="752" spans="1:40" ht="12.75" x14ac:dyDescent="0.3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8"/>
      <c r="AE752" s="5"/>
      <c r="AF752" s="8"/>
      <c r="AG752" s="4"/>
      <c r="AH752" s="5"/>
      <c r="AI752" s="5"/>
      <c r="AJ752" s="5"/>
      <c r="AK752" s="5"/>
      <c r="AL752" s="5"/>
      <c r="AM752" s="5"/>
      <c r="AN752" s="5"/>
    </row>
    <row r="753" spans="1:40" ht="12.75" x14ac:dyDescent="0.3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8"/>
      <c r="AE753" s="5"/>
      <c r="AF753" s="8"/>
      <c r="AG753" s="4"/>
      <c r="AH753" s="5"/>
      <c r="AI753" s="5"/>
      <c r="AJ753" s="5"/>
      <c r="AK753" s="5"/>
      <c r="AL753" s="5"/>
      <c r="AM753" s="5"/>
      <c r="AN753" s="5"/>
    </row>
    <row r="754" spans="1:40" ht="12.75" x14ac:dyDescent="0.3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8"/>
      <c r="AE754" s="5"/>
      <c r="AF754" s="8"/>
      <c r="AG754" s="4"/>
      <c r="AH754" s="5"/>
      <c r="AI754" s="5"/>
      <c r="AJ754" s="5"/>
      <c r="AK754" s="5"/>
      <c r="AL754" s="5"/>
      <c r="AM754" s="5"/>
      <c r="AN754" s="5"/>
    </row>
    <row r="755" spans="1:40" ht="12.75" x14ac:dyDescent="0.3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8"/>
      <c r="AE755" s="5"/>
      <c r="AF755" s="8"/>
      <c r="AG755" s="4"/>
      <c r="AH755" s="5"/>
      <c r="AI755" s="5"/>
      <c r="AJ755" s="5"/>
      <c r="AK755" s="5"/>
      <c r="AL755" s="5"/>
      <c r="AM755" s="5"/>
      <c r="AN755" s="5"/>
    </row>
    <row r="756" spans="1:40" ht="12.75" x14ac:dyDescent="0.3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8"/>
      <c r="AE756" s="5"/>
      <c r="AF756" s="8"/>
      <c r="AG756" s="4"/>
      <c r="AH756" s="5"/>
      <c r="AI756" s="5"/>
      <c r="AJ756" s="5"/>
      <c r="AK756" s="5"/>
      <c r="AL756" s="5"/>
      <c r="AM756" s="5"/>
      <c r="AN756" s="5"/>
    </row>
    <row r="757" spans="1:40" ht="12.75" x14ac:dyDescent="0.3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8"/>
      <c r="AE757" s="5"/>
      <c r="AF757" s="8"/>
      <c r="AG757" s="4"/>
      <c r="AH757" s="5"/>
      <c r="AI757" s="5"/>
      <c r="AJ757" s="5"/>
      <c r="AK757" s="5"/>
      <c r="AL757" s="5"/>
      <c r="AM757" s="5"/>
      <c r="AN757" s="5"/>
    </row>
    <row r="758" spans="1:40" ht="12.75" x14ac:dyDescent="0.3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8"/>
      <c r="AE758" s="5"/>
      <c r="AF758" s="8"/>
      <c r="AG758" s="4"/>
      <c r="AH758" s="5"/>
      <c r="AI758" s="5"/>
      <c r="AJ758" s="5"/>
      <c r="AK758" s="5"/>
      <c r="AL758" s="5"/>
      <c r="AM758" s="5"/>
      <c r="AN758" s="5"/>
    </row>
    <row r="759" spans="1:40" ht="12.75" x14ac:dyDescent="0.3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8"/>
      <c r="AE759" s="5"/>
      <c r="AF759" s="8"/>
      <c r="AG759" s="4"/>
      <c r="AH759" s="5"/>
      <c r="AI759" s="5"/>
      <c r="AJ759" s="5"/>
      <c r="AK759" s="5"/>
      <c r="AL759" s="5"/>
      <c r="AM759" s="5"/>
      <c r="AN759" s="5"/>
    </row>
    <row r="760" spans="1:40" ht="12.75" x14ac:dyDescent="0.3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8"/>
      <c r="AE760" s="5"/>
      <c r="AF760" s="8"/>
      <c r="AG760" s="4"/>
      <c r="AH760" s="5"/>
      <c r="AI760" s="5"/>
      <c r="AJ760" s="5"/>
      <c r="AK760" s="5"/>
      <c r="AL760" s="5"/>
      <c r="AM760" s="5"/>
      <c r="AN760" s="5"/>
    </row>
    <row r="761" spans="1:40" ht="12.75" x14ac:dyDescent="0.3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8"/>
      <c r="AE761" s="5"/>
      <c r="AF761" s="8"/>
      <c r="AG761" s="4"/>
      <c r="AH761" s="5"/>
      <c r="AI761" s="5"/>
      <c r="AJ761" s="5"/>
      <c r="AK761" s="5"/>
      <c r="AL761" s="5"/>
      <c r="AM761" s="5"/>
      <c r="AN761" s="5"/>
    </row>
    <row r="762" spans="1:40" ht="12.75" x14ac:dyDescent="0.3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8"/>
      <c r="AE762" s="5"/>
      <c r="AF762" s="8"/>
      <c r="AG762" s="4"/>
      <c r="AH762" s="5"/>
      <c r="AI762" s="5"/>
      <c r="AJ762" s="5"/>
      <c r="AK762" s="5"/>
      <c r="AL762" s="5"/>
      <c r="AM762" s="5"/>
      <c r="AN762" s="5"/>
    </row>
    <row r="763" spans="1:40" ht="12.75" x14ac:dyDescent="0.3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8"/>
      <c r="AE763" s="5"/>
      <c r="AF763" s="8"/>
      <c r="AG763" s="4"/>
      <c r="AH763" s="5"/>
      <c r="AI763" s="5"/>
      <c r="AJ763" s="5"/>
      <c r="AK763" s="5"/>
      <c r="AL763" s="5"/>
      <c r="AM763" s="5"/>
      <c r="AN763" s="5"/>
    </row>
    <row r="764" spans="1:40" ht="12.75" x14ac:dyDescent="0.3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8"/>
      <c r="AE764" s="5"/>
      <c r="AF764" s="8"/>
      <c r="AG764" s="4"/>
      <c r="AH764" s="5"/>
      <c r="AI764" s="5"/>
      <c r="AJ764" s="5"/>
      <c r="AK764" s="5"/>
      <c r="AL764" s="5"/>
      <c r="AM764" s="5"/>
      <c r="AN764" s="5"/>
    </row>
    <row r="765" spans="1:40" ht="12.75" x14ac:dyDescent="0.3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8"/>
      <c r="AE765" s="5"/>
      <c r="AF765" s="8"/>
      <c r="AG765" s="4"/>
      <c r="AH765" s="5"/>
      <c r="AI765" s="5"/>
      <c r="AJ765" s="5"/>
      <c r="AK765" s="5"/>
      <c r="AL765" s="5"/>
      <c r="AM765" s="5"/>
      <c r="AN765" s="5"/>
    </row>
    <row r="766" spans="1:40" ht="12.75" x14ac:dyDescent="0.3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8"/>
      <c r="AE766" s="5"/>
      <c r="AF766" s="8"/>
      <c r="AG766" s="4"/>
      <c r="AH766" s="5"/>
      <c r="AI766" s="5"/>
      <c r="AJ766" s="5"/>
      <c r="AK766" s="5"/>
      <c r="AL766" s="5"/>
      <c r="AM766" s="5"/>
      <c r="AN766" s="5"/>
    </row>
    <row r="767" spans="1:40" ht="12.75" x14ac:dyDescent="0.3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8"/>
      <c r="AE767" s="5"/>
      <c r="AF767" s="8"/>
      <c r="AG767" s="4"/>
      <c r="AH767" s="5"/>
      <c r="AI767" s="5"/>
      <c r="AJ767" s="5"/>
      <c r="AK767" s="5"/>
      <c r="AL767" s="5"/>
      <c r="AM767" s="5"/>
      <c r="AN767" s="5"/>
    </row>
    <row r="768" spans="1:40" ht="12.75" x14ac:dyDescent="0.3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8"/>
      <c r="AE768" s="5"/>
      <c r="AF768" s="8"/>
      <c r="AG768" s="4"/>
      <c r="AH768" s="5"/>
      <c r="AI768" s="5"/>
      <c r="AJ768" s="5"/>
      <c r="AK768" s="5"/>
      <c r="AL768" s="5"/>
      <c r="AM768" s="5"/>
      <c r="AN768" s="5"/>
    </row>
    <row r="769" spans="1:40" ht="12.75" x14ac:dyDescent="0.3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8"/>
      <c r="AE769" s="5"/>
      <c r="AF769" s="8"/>
      <c r="AG769" s="4"/>
      <c r="AH769" s="5"/>
      <c r="AI769" s="5"/>
      <c r="AJ769" s="5"/>
      <c r="AK769" s="5"/>
      <c r="AL769" s="5"/>
      <c r="AM769" s="5"/>
      <c r="AN769" s="5"/>
    </row>
    <row r="770" spans="1:40" ht="12.75" x14ac:dyDescent="0.3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8"/>
      <c r="AE770" s="5"/>
      <c r="AF770" s="8"/>
      <c r="AG770" s="4"/>
      <c r="AH770" s="5"/>
      <c r="AI770" s="5"/>
      <c r="AJ770" s="5"/>
      <c r="AK770" s="5"/>
      <c r="AL770" s="5"/>
      <c r="AM770" s="5"/>
      <c r="AN770" s="5"/>
    </row>
    <row r="771" spans="1:40" ht="12.75" x14ac:dyDescent="0.3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8"/>
      <c r="AE771" s="5"/>
      <c r="AF771" s="8"/>
      <c r="AG771" s="4"/>
      <c r="AH771" s="5"/>
      <c r="AI771" s="5"/>
      <c r="AJ771" s="5"/>
      <c r="AK771" s="5"/>
      <c r="AL771" s="5"/>
      <c r="AM771" s="5"/>
      <c r="AN771" s="5"/>
    </row>
    <row r="772" spans="1:40" ht="12.75" x14ac:dyDescent="0.3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8"/>
      <c r="AE772" s="5"/>
      <c r="AF772" s="8"/>
      <c r="AG772" s="4"/>
      <c r="AH772" s="5"/>
      <c r="AI772" s="5"/>
      <c r="AJ772" s="5"/>
      <c r="AK772" s="5"/>
      <c r="AL772" s="5"/>
      <c r="AM772" s="5"/>
      <c r="AN772" s="5"/>
    </row>
    <row r="773" spans="1:40" ht="12.75" x14ac:dyDescent="0.3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8"/>
      <c r="AE773" s="5"/>
      <c r="AF773" s="8"/>
      <c r="AG773" s="4"/>
      <c r="AH773" s="5"/>
      <c r="AI773" s="5"/>
      <c r="AJ773" s="5"/>
      <c r="AK773" s="5"/>
      <c r="AL773" s="5"/>
      <c r="AM773" s="5"/>
      <c r="AN773" s="5"/>
    </row>
    <row r="774" spans="1:40" ht="12.75" x14ac:dyDescent="0.3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8"/>
      <c r="AE774" s="5"/>
      <c r="AF774" s="8"/>
      <c r="AG774" s="4"/>
      <c r="AH774" s="5"/>
      <c r="AI774" s="5"/>
      <c r="AJ774" s="5"/>
      <c r="AK774" s="5"/>
      <c r="AL774" s="5"/>
      <c r="AM774" s="5"/>
      <c r="AN774" s="5"/>
    </row>
    <row r="775" spans="1:40" ht="12.75" x14ac:dyDescent="0.3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8"/>
      <c r="AE775" s="5"/>
      <c r="AF775" s="8"/>
      <c r="AG775" s="4"/>
      <c r="AH775" s="5"/>
      <c r="AI775" s="5"/>
      <c r="AJ775" s="5"/>
      <c r="AK775" s="5"/>
      <c r="AL775" s="5"/>
      <c r="AM775" s="5"/>
      <c r="AN775" s="5"/>
    </row>
    <row r="776" spans="1:40" ht="12.75" x14ac:dyDescent="0.3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8"/>
      <c r="AE776" s="5"/>
      <c r="AF776" s="8"/>
      <c r="AG776" s="4"/>
      <c r="AH776" s="5"/>
      <c r="AI776" s="5"/>
      <c r="AJ776" s="5"/>
      <c r="AK776" s="5"/>
      <c r="AL776" s="5"/>
      <c r="AM776" s="5"/>
      <c r="AN776" s="5"/>
    </row>
    <row r="777" spans="1:40" ht="12.75" x14ac:dyDescent="0.3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8"/>
      <c r="AE777" s="5"/>
      <c r="AF777" s="8"/>
      <c r="AG777" s="4"/>
      <c r="AH777" s="5"/>
      <c r="AI777" s="5"/>
      <c r="AJ777" s="5"/>
      <c r="AK777" s="5"/>
      <c r="AL777" s="5"/>
      <c r="AM777" s="5"/>
      <c r="AN777" s="5"/>
    </row>
    <row r="778" spans="1:40" ht="12.75" x14ac:dyDescent="0.3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8"/>
      <c r="AE778" s="5"/>
      <c r="AF778" s="8"/>
      <c r="AG778" s="4"/>
      <c r="AH778" s="5"/>
      <c r="AI778" s="5"/>
      <c r="AJ778" s="5"/>
      <c r="AK778" s="5"/>
      <c r="AL778" s="5"/>
      <c r="AM778" s="5"/>
      <c r="AN778" s="5"/>
    </row>
    <row r="779" spans="1:40" ht="12.75" x14ac:dyDescent="0.3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8"/>
      <c r="AE779" s="5"/>
      <c r="AF779" s="8"/>
      <c r="AG779" s="4"/>
      <c r="AH779" s="5"/>
      <c r="AI779" s="5"/>
      <c r="AJ779" s="5"/>
      <c r="AK779" s="5"/>
      <c r="AL779" s="5"/>
      <c r="AM779" s="5"/>
      <c r="AN779" s="5"/>
    </row>
    <row r="780" spans="1:40" ht="12.75" x14ac:dyDescent="0.3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8"/>
      <c r="AE780" s="5"/>
      <c r="AF780" s="8"/>
      <c r="AG780" s="4"/>
      <c r="AH780" s="5"/>
      <c r="AI780" s="5"/>
      <c r="AJ780" s="5"/>
      <c r="AK780" s="5"/>
      <c r="AL780" s="5"/>
      <c r="AM780" s="5"/>
      <c r="AN780" s="5"/>
    </row>
    <row r="781" spans="1:40" ht="12.75" x14ac:dyDescent="0.3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8"/>
      <c r="AE781" s="5"/>
      <c r="AF781" s="8"/>
      <c r="AG781" s="4"/>
      <c r="AH781" s="5"/>
      <c r="AI781" s="5"/>
      <c r="AJ781" s="5"/>
      <c r="AK781" s="5"/>
      <c r="AL781" s="5"/>
      <c r="AM781" s="5"/>
      <c r="AN781" s="5"/>
    </row>
    <row r="782" spans="1:40" ht="12.75" x14ac:dyDescent="0.3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8"/>
      <c r="AE782" s="5"/>
      <c r="AF782" s="8"/>
      <c r="AG782" s="4"/>
      <c r="AH782" s="5"/>
      <c r="AI782" s="5"/>
      <c r="AJ782" s="5"/>
      <c r="AK782" s="5"/>
      <c r="AL782" s="5"/>
      <c r="AM782" s="5"/>
      <c r="AN782" s="5"/>
    </row>
    <row r="783" spans="1:40" ht="12.75" x14ac:dyDescent="0.3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8"/>
      <c r="AE783" s="5"/>
      <c r="AF783" s="8"/>
      <c r="AG783" s="4"/>
      <c r="AH783" s="5"/>
      <c r="AI783" s="5"/>
      <c r="AJ783" s="5"/>
      <c r="AK783" s="5"/>
      <c r="AL783" s="5"/>
      <c r="AM783" s="5"/>
      <c r="AN783" s="5"/>
    </row>
    <row r="784" spans="1:40" ht="12.75" x14ac:dyDescent="0.3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8"/>
      <c r="AE784" s="5"/>
      <c r="AF784" s="8"/>
      <c r="AG784" s="4"/>
      <c r="AH784" s="5"/>
      <c r="AI784" s="5"/>
      <c r="AJ784" s="5"/>
      <c r="AK784" s="5"/>
      <c r="AL784" s="5"/>
      <c r="AM784" s="5"/>
      <c r="AN784" s="5"/>
    </row>
    <row r="785" spans="1:40" ht="12.75" x14ac:dyDescent="0.3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8"/>
      <c r="AE785" s="5"/>
      <c r="AF785" s="8"/>
      <c r="AG785" s="4"/>
      <c r="AH785" s="5"/>
      <c r="AI785" s="5"/>
      <c r="AJ785" s="5"/>
      <c r="AK785" s="5"/>
      <c r="AL785" s="5"/>
      <c r="AM785" s="5"/>
      <c r="AN785" s="5"/>
    </row>
    <row r="786" spans="1:40" ht="12.75" x14ac:dyDescent="0.3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8"/>
      <c r="AE786" s="5"/>
      <c r="AF786" s="8"/>
      <c r="AG786" s="4"/>
      <c r="AH786" s="5"/>
      <c r="AI786" s="5"/>
      <c r="AJ786" s="5"/>
      <c r="AK786" s="5"/>
      <c r="AL786" s="5"/>
      <c r="AM786" s="5"/>
      <c r="AN786" s="5"/>
    </row>
    <row r="787" spans="1:40" ht="12.75" x14ac:dyDescent="0.3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8"/>
      <c r="AE787" s="5"/>
      <c r="AF787" s="8"/>
      <c r="AG787" s="4"/>
      <c r="AH787" s="5"/>
      <c r="AI787" s="5"/>
      <c r="AJ787" s="5"/>
      <c r="AK787" s="5"/>
      <c r="AL787" s="5"/>
      <c r="AM787" s="5"/>
      <c r="AN787" s="5"/>
    </row>
    <row r="788" spans="1:40" ht="12.75" x14ac:dyDescent="0.3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8"/>
      <c r="AE788" s="5"/>
      <c r="AF788" s="8"/>
      <c r="AG788" s="4"/>
      <c r="AH788" s="5"/>
      <c r="AI788" s="5"/>
      <c r="AJ788" s="5"/>
      <c r="AK788" s="5"/>
      <c r="AL788" s="5"/>
      <c r="AM788" s="5"/>
      <c r="AN788" s="5"/>
    </row>
    <row r="789" spans="1:40" ht="12.75" x14ac:dyDescent="0.3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8"/>
      <c r="AE789" s="5"/>
      <c r="AF789" s="8"/>
      <c r="AG789" s="4"/>
      <c r="AH789" s="5"/>
      <c r="AI789" s="5"/>
      <c r="AJ789" s="5"/>
      <c r="AK789" s="5"/>
      <c r="AL789" s="5"/>
      <c r="AM789" s="5"/>
      <c r="AN789" s="5"/>
    </row>
    <row r="790" spans="1:40" ht="12.75" x14ac:dyDescent="0.3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8"/>
      <c r="AE790" s="5"/>
      <c r="AF790" s="8"/>
      <c r="AG790" s="4"/>
      <c r="AH790" s="5"/>
      <c r="AI790" s="5"/>
      <c r="AJ790" s="5"/>
      <c r="AK790" s="5"/>
      <c r="AL790" s="5"/>
      <c r="AM790" s="5"/>
      <c r="AN790" s="5"/>
    </row>
    <row r="791" spans="1:40" ht="12.75" x14ac:dyDescent="0.3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8"/>
      <c r="AE791" s="5"/>
      <c r="AF791" s="8"/>
      <c r="AG791" s="4"/>
      <c r="AH791" s="5"/>
      <c r="AI791" s="5"/>
      <c r="AJ791" s="5"/>
      <c r="AK791" s="5"/>
      <c r="AL791" s="5"/>
      <c r="AM791" s="5"/>
      <c r="AN791" s="5"/>
    </row>
    <row r="792" spans="1:40" ht="12.75" x14ac:dyDescent="0.3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8"/>
      <c r="AE792" s="5"/>
      <c r="AF792" s="8"/>
      <c r="AG792" s="4"/>
      <c r="AH792" s="5"/>
      <c r="AI792" s="5"/>
      <c r="AJ792" s="5"/>
      <c r="AK792" s="5"/>
      <c r="AL792" s="5"/>
      <c r="AM792" s="5"/>
      <c r="AN792" s="5"/>
    </row>
    <row r="793" spans="1:40" ht="12.75" x14ac:dyDescent="0.3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8"/>
      <c r="AE793" s="5"/>
      <c r="AF793" s="8"/>
      <c r="AG793" s="4"/>
      <c r="AH793" s="5"/>
      <c r="AI793" s="5"/>
      <c r="AJ793" s="5"/>
      <c r="AK793" s="5"/>
      <c r="AL793" s="5"/>
      <c r="AM793" s="5"/>
      <c r="AN793" s="5"/>
    </row>
    <row r="794" spans="1:40" ht="12.75" x14ac:dyDescent="0.3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8"/>
      <c r="AE794" s="5"/>
      <c r="AF794" s="8"/>
      <c r="AG794" s="4"/>
      <c r="AH794" s="5"/>
      <c r="AI794" s="5"/>
      <c r="AJ794" s="5"/>
      <c r="AK794" s="5"/>
      <c r="AL794" s="5"/>
      <c r="AM794" s="5"/>
      <c r="AN794" s="5"/>
    </row>
    <row r="795" spans="1:40" ht="12.75" x14ac:dyDescent="0.3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8"/>
      <c r="AE795" s="5"/>
      <c r="AF795" s="8"/>
      <c r="AG795" s="4"/>
      <c r="AH795" s="5"/>
      <c r="AI795" s="5"/>
      <c r="AJ795" s="5"/>
      <c r="AK795" s="5"/>
      <c r="AL795" s="5"/>
      <c r="AM795" s="5"/>
      <c r="AN795" s="5"/>
    </row>
    <row r="796" spans="1:40" ht="12.75" x14ac:dyDescent="0.3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8"/>
      <c r="AE796" s="5"/>
      <c r="AF796" s="8"/>
      <c r="AG796" s="4"/>
      <c r="AH796" s="5"/>
      <c r="AI796" s="5"/>
      <c r="AJ796" s="5"/>
      <c r="AK796" s="5"/>
      <c r="AL796" s="5"/>
      <c r="AM796" s="5"/>
      <c r="AN796" s="5"/>
    </row>
    <row r="797" spans="1:40" ht="12.75" x14ac:dyDescent="0.3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8"/>
      <c r="AE797" s="5"/>
      <c r="AF797" s="8"/>
      <c r="AG797" s="4"/>
      <c r="AH797" s="5"/>
      <c r="AI797" s="5"/>
      <c r="AJ797" s="5"/>
      <c r="AK797" s="5"/>
      <c r="AL797" s="5"/>
      <c r="AM797" s="5"/>
      <c r="AN797" s="5"/>
    </row>
    <row r="798" spans="1:40" ht="12.75" x14ac:dyDescent="0.3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8"/>
      <c r="AE798" s="5"/>
      <c r="AF798" s="8"/>
      <c r="AG798" s="4"/>
      <c r="AH798" s="5"/>
      <c r="AI798" s="5"/>
      <c r="AJ798" s="5"/>
      <c r="AK798" s="5"/>
      <c r="AL798" s="5"/>
      <c r="AM798" s="5"/>
      <c r="AN798" s="5"/>
    </row>
    <row r="799" spans="1:40" ht="12.75" x14ac:dyDescent="0.3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8"/>
      <c r="AE799" s="5"/>
      <c r="AF799" s="8"/>
      <c r="AG799" s="4"/>
      <c r="AH799" s="5"/>
      <c r="AI799" s="5"/>
      <c r="AJ799" s="5"/>
      <c r="AK799" s="5"/>
      <c r="AL799" s="5"/>
      <c r="AM799" s="5"/>
      <c r="AN799" s="5"/>
    </row>
    <row r="800" spans="1:40" ht="12.75" x14ac:dyDescent="0.3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8"/>
      <c r="AE800" s="5"/>
      <c r="AF800" s="8"/>
      <c r="AG800" s="4"/>
      <c r="AH800" s="5"/>
      <c r="AI800" s="5"/>
      <c r="AJ800" s="5"/>
      <c r="AK800" s="5"/>
      <c r="AL800" s="5"/>
      <c r="AM800" s="5"/>
      <c r="AN800" s="5"/>
    </row>
    <row r="801" spans="1:40" ht="12.75" x14ac:dyDescent="0.3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8"/>
      <c r="AE801" s="5"/>
      <c r="AF801" s="8"/>
      <c r="AG801" s="4"/>
      <c r="AH801" s="5"/>
      <c r="AI801" s="5"/>
      <c r="AJ801" s="5"/>
      <c r="AK801" s="5"/>
      <c r="AL801" s="5"/>
      <c r="AM801" s="5"/>
      <c r="AN801" s="5"/>
    </row>
    <row r="802" spans="1:40" ht="12.75" x14ac:dyDescent="0.3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8"/>
      <c r="AE802" s="5"/>
      <c r="AF802" s="8"/>
      <c r="AG802" s="4"/>
      <c r="AH802" s="5"/>
      <c r="AI802" s="5"/>
      <c r="AJ802" s="5"/>
      <c r="AK802" s="5"/>
      <c r="AL802" s="5"/>
      <c r="AM802" s="5"/>
      <c r="AN802" s="5"/>
    </row>
    <row r="803" spans="1:40" ht="12.75" x14ac:dyDescent="0.3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8"/>
      <c r="AE803" s="5"/>
      <c r="AF803" s="8"/>
      <c r="AG803" s="4"/>
      <c r="AH803" s="5"/>
      <c r="AI803" s="5"/>
      <c r="AJ803" s="5"/>
      <c r="AK803" s="5"/>
      <c r="AL803" s="5"/>
      <c r="AM803" s="5"/>
      <c r="AN803" s="5"/>
    </row>
    <row r="804" spans="1:40" ht="12.75" x14ac:dyDescent="0.3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8"/>
      <c r="AE804" s="5"/>
      <c r="AF804" s="8"/>
      <c r="AG804" s="4"/>
      <c r="AH804" s="5"/>
      <c r="AI804" s="5"/>
      <c r="AJ804" s="5"/>
      <c r="AK804" s="5"/>
      <c r="AL804" s="5"/>
      <c r="AM804" s="5"/>
      <c r="AN804" s="5"/>
    </row>
    <row r="805" spans="1:40" ht="12.75" x14ac:dyDescent="0.3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8"/>
      <c r="AE805" s="5"/>
      <c r="AF805" s="8"/>
      <c r="AG805" s="4"/>
      <c r="AH805" s="5"/>
      <c r="AI805" s="5"/>
      <c r="AJ805" s="5"/>
      <c r="AK805" s="5"/>
      <c r="AL805" s="5"/>
      <c r="AM805" s="5"/>
      <c r="AN805" s="5"/>
    </row>
    <row r="806" spans="1:40" ht="12.75" x14ac:dyDescent="0.3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8"/>
      <c r="AE806" s="5"/>
      <c r="AF806" s="8"/>
      <c r="AG806" s="4"/>
      <c r="AH806" s="5"/>
      <c r="AI806" s="5"/>
      <c r="AJ806" s="5"/>
      <c r="AK806" s="5"/>
      <c r="AL806" s="5"/>
      <c r="AM806" s="5"/>
      <c r="AN806" s="5"/>
    </row>
    <row r="807" spans="1:40" ht="12.75" x14ac:dyDescent="0.3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8"/>
      <c r="AE807" s="5"/>
      <c r="AF807" s="8"/>
      <c r="AG807" s="4"/>
      <c r="AH807" s="5"/>
      <c r="AI807" s="5"/>
      <c r="AJ807" s="5"/>
      <c r="AK807" s="5"/>
      <c r="AL807" s="5"/>
      <c r="AM807" s="5"/>
      <c r="AN807" s="5"/>
    </row>
    <row r="808" spans="1:40" ht="12.75" x14ac:dyDescent="0.3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8"/>
      <c r="AE808" s="5"/>
      <c r="AF808" s="8"/>
      <c r="AG808" s="4"/>
      <c r="AH808" s="5"/>
      <c r="AI808" s="5"/>
      <c r="AJ808" s="5"/>
      <c r="AK808" s="5"/>
      <c r="AL808" s="5"/>
      <c r="AM808" s="5"/>
      <c r="AN808" s="5"/>
    </row>
    <row r="809" spans="1:40" ht="12.75" x14ac:dyDescent="0.3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8"/>
      <c r="AE809" s="5"/>
      <c r="AF809" s="8"/>
      <c r="AG809" s="4"/>
      <c r="AH809" s="5"/>
      <c r="AI809" s="5"/>
      <c r="AJ809" s="5"/>
      <c r="AK809" s="5"/>
      <c r="AL809" s="5"/>
      <c r="AM809" s="5"/>
      <c r="AN809" s="5"/>
    </row>
    <row r="810" spans="1:40" ht="12.75" x14ac:dyDescent="0.3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8"/>
      <c r="AE810" s="5"/>
      <c r="AF810" s="8"/>
      <c r="AG810" s="4"/>
      <c r="AH810" s="5"/>
      <c r="AI810" s="5"/>
      <c r="AJ810" s="5"/>
      <c r="AK810" s="5"/>
      <c r="AL810" s="5"/>
      <c r="AM810" s="5"/>
      <c r="AN810" s="5"/>
    </row>
    <row r="811" spans="1:40" ht="12.75" x14ac:dyDescent="0.3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8"/>
      <c r="AE811" s="5"/>
      <c r="AF811" s="8"/>
      <c r="AG811" s="4"/>
      <c r="AH811" s="5"/>
      <c r="AI811" s="5"/>
      <c r="AJ811" s="5"/>
      <c r="AK811" s="5"/>
      <c r="AL811" s="5"/>
      <c r="AM811" s="5"/>
      <c r="AN811" s="5"/>
    </row>
    <row r="812" spans="1:40" ht="12.75" x14ac:dyDescent="0.3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8"/>
      <c r="AE812" s="5"/>
      <c r="AF812" s="8"/>
      <c r="AG812" s="4"/>
      <c r="AH812" s="5"/>
      <c r="AI812" s="5"/>
      <c r="AJ812" s="5"/>
      <c r="AK812" s="5"/>
      <c r="AL812" s="5"/>
      <c r="AM812" s="5"/>
      <c r="AN812" s="5"/>
    </row>
    <row r="813" spans="1:40" ht="12.75" x14ac:dyDescent="0.3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8"/>
      <c r="AE813" s="5"/>
      <c r="AF813" s="8"/>
      <c r="AG813" s="4"/>
      <c r="AH813" s="5"/>
      <c r="AI813" s="5"/>
      <c r="AJ813" s="5"/>
      <c r="AK813" s="5"/>
      <c r="AL813" s="5"/>
      <c r="AM813" s="5"/>
      <c r="AN813" s="5"/>
    </row>
    <row r="814" spans="1:40" ht="12.75" x14ac:dyDescent="0.3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8"/>
      <c r="AE814" s="5"/>
      <c r="AF814" s="8"/>
      <c r="AG814" s="4"/>
      <c r="AH814" s="5"/>
      <c r="AI814" s="5"/>
      <c r="AJ814" s="5"/>
      <c r="AK814" s="5"/>
      <c r="AL814" s="5"/>
      <c r="AM814" s="5"/>
      <c r="AN814" s="5"/>
    </row>
    <row r="815" spans="1:40" ht="12.75" x14ac:dyDescent="0.3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8"/>
      <c r="AE815" s="5"/>
      <c r="AF815" s="8"/>
      <c r="AG815" s="4"/>
      <c r="AH815" s="5"/>
      <c r="AI815" s="5"/>
      <c r="AJ815" s="5"/>
      <c r="AK815" s="5"/>
      <c r="AL815" s="5"/>
      <c r="AM815" s="5"/>
      <c r="AN815" s="5"/>
    </row>
    <row r="816" spans="1:40" ht="12.75" x14ac:dyDescent="0.3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8"/>
      <c r="AE816" s="5"/>
      <c r="AF816" s="8"/>
      <c r="AG816" s="4"/>
      <c r="AH816" s="5"/>
      <c r="AI816" s="5"/>
      <c r="AJ816" s="5"/>
      <c r="AK816" s="5"/>
      <c r="AL816" s="5"/>
      <c r="AM816" s="5"/>
      <c r="AN816" s="5"/>
    </row>
    <row r="817" spans="1:40" ht="12.75" x14ac:dyDescent="0.3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8"/>
      <c r="AE817" s="5"/>
      <c r="AF817" s="8"/>
      <c r="AG817" s="4"/>
      <c r="AH817" s="5"/>
      <c r="AI817" s="5"/>
      <c r="AJ817" s="5"/>
      <c r="AK817" s="5"/>
      <c r="AL817" s="5"/>
      <c r="AM817" s="5"/>
      <c r="AN817" s="5"/>
    </row>
    <row r="818" spans="1:40" ht="12.75" x14ac:dyDescent="0.3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8"/>
      <c r="AE818" s="5"/>
      <c r="AF818" s="8"/>
      <c r="AG818" s="4"/>
      <c r="AH818" s="5"/>
      <c r="AI818" s="5"/>
      <c r="AJ818" s="5"/>
      <c r="AK818" s="5"/>
      <c r="AL818" s="5"/>
      <c r="AM818" s="5"/>
      <c r="AN818" s="5"/>
    </row>
    <row r="819" spans="1:40" ht="12.75" x14ac:dyDescent="0.3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8"/>
      <c r="AE819" s="5"/>
      <c r="AF819" s="8"/>
      <c r="AG819" s="4"/>
      <c r="AH819" s="5"/>
      <c r="AI819" s="5"/>
      <c r="AJ819" s="5"/>
      <c r="AK819" s="5"/>
      <c r="AL819" s="5"/>
      <c r="AM819" s="5"/>
      <c r="AN819" s="5"/>
    </row>
    <row r="820" spans="1:40" ht="12.75" x14ac:dyDescent="0.3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8"/>
      <c r="AE820" s="5"/>
      <c r="AF820" s="8"/>
      <c r="AG820" s="4"/>
      <c r="AH820" s="5"/>
      <c r="AI820" s="5"/>
      <c r="AJ820" s="5"/>
      <c r="AK820" s="5"/>
      <c r="AL820" s="5"/>
      <c r="AM820" s="5"/>
      <c r="AN820" s="5"/>
    </row>
    <row r="821" spans="1:40" ht="12.75" x14ac:dyDescent="0.3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8"/>
      <c r="AE821" s="5"/>
      <c r="AF821" s="8"/>
      <c r="AG821" s="4"/>
      <c r="AH821" s="5"/>
      <c r="AI821" s="5"/>
      <c r="AJ821" s="5"/>
      <c r="AK821" s="5"/>
      <c r="AL821" s="5"/>
      <c r="AM821" s="5"/>
      <c r="AN821" s="5"/>
    </row>
    <row r="822" spans="1:40" ht="12.75" x14ac:dyDescent="0.3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8"/>
      <c r="AE822" s="5"/>
      <c r="AF822" s="8"/>
      <c r="AG822" s="4"/>
      <c r="AH822" s="5"/>
      <c r="AI822" s="5"/>
      <c r="AJ822" s="5"/>
      <c r="AK822" s="5"/>
      <c r="AL822" s="5"/>
      <c r="AM822" s="5"/>
      <c r="AN822" s="5"/>
    </row>
    <row r="823" spans="1:40" ht="12.75" x14ac:dyDescent="0.3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8"/>
      <c r="AE823" s="5"/>
      <c r="AF823" s="8"/>
      <c r="AG823" s="4"/>
      <c r="AH823" s="5"/>
      <c r="AI823" s="5"/>
      <c r="AJ823" s="5"/>
      <c r="AK823" s="5"/>
      <c r="AL823" s="5"/>
      <c r="AM823" s="5"/>
      <c r="AN823" s="5"/>
    </row>
    <row r="824" spans="1:40" ht="12.75" x14ac:dyDescent="0.3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8"/>
      <c r="AE824" s="5"/>
      <c r="AF824" s="8"/>
      <c r="AG824" s="4"/>
      <c r="AH824" s="5"/>
      <c r="AI824" s="5"/>
      <c r="AJ824" s="5"/>
      <c r="AK824" s="5"/>
      <c r="AL824" s="5"/>
      <c r="AM824" s="5"/>
      <c r="AN824" s="5"/>
    </row>
    <row r="825" spans="1:40" ht="12.75" x14ac:dyDescent="0.3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8"/>
      <c r="AE825" s="5"/>
      <c r="AF825" s="8"/>
      <c r="AG825" s="4"/>
      <c r="AH825" s="5"/>
      <c r="AI825" s="5"/>
      <c r="AJ825" s="5"/>
      <c r="AK825" s="5"/>
      <c r="AL825" s="5"/>
      <c r="AM825" s="5"/>
      <c r="AN825" s="5"/>
    </row>
    <row r="826" spans="1:40" ht="12.75" x14ac:dyDescent="0.3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8"/>
      <c r="AE826" s="5"/>
      <c r="AF826" s="8"/>
      <c r="AG826" s="4"/>
      <c r="AH826" s="5"/>
      <c r="AI826" s="5"/>
      <c r="AJ826" s="5"/>
      <c r="AK826" s="5"/>
      <c r="AL826" s="5"/>
      <c r="AM826" s="5"/>
      <c r="AN826" s="5"/>
    </row>
    <row r="827" spans="1:40" ht="12.75" x14ac:dyDescent="0.3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8"/>
      <c r="AE827" s="5"/>
      <c r="AF827" s="8"/>
      <c r="AG827" s="4"/>
      <c r="AH827" s="5"/>
      <c r="AI827" s="5"/>
      <c r="AJ827" s="5"/>
      <c r="AK827" s="5"/>
      <c r="AL827" s="5"/>
      <c r="AM827" s="5"/>
      <c r="AN827" s="5"/>
    </row>
    <row r="828" spans="1:40" ht="12.75" x14ac:dyDescent="0.3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8"/>
      <c r="AE828" s="5"/>
      <c r="AF828" s="8"/>
      <c r="AG828" s="4"/>
      <c r="AH828" s="5"/>
      <c r="AI828" s="5"/>
      <c r="AJ828" s="5"/>
      <c r="AK828" s="5"/>
      <c r="AL828" s="5"/>
      <c r="AM828" s="5"/>
      <c r="AN828" s="5"/>
    </row>
    <row r="829" spans="1:40" ht="12.75" x14ac:dyDescent="0.3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8"/>
      <c r="AE829" s="5"/>
      <c r="AF829" s="8"/>
      <c r="AG829" s="4"/>
      <c r="AH829" s="5"/>
      <c r="AI829" s="5"/>
      <c r="AJ829" s="5"/>
      <c r="AK829" s="5"/>
      <c r="AL829" s="5"/>
      <c r="AM829" s="5"/>
      <c r="AN829" s="5"/>
    </row>
    <row r="830" spans="1:40" ht="12.75" x14ac:dyDescent="0.3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8"/>
      <c r="AE830" s="5"/>
      <c r="AF830" s="8"/>
      <c r="AG830" s="4"/>
      <c r="AH830" s="5"/>
      <c r="AI830" s="5"/>
      <c r="AJ830" s="5"/>
      <c r="AK830" s="5"/>
      <c r="AL830" s="5"/>
      <c r="AM830" s="5"/>
      <c r="AN830" s="5"/>
    </row>
    <row r="831" spans="1:40" ht="12.75" x14ac:dyDescent="0.3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8"/>
      <c r="AE831" s="5"/>
      <c r="AF831" s="8"/>
      <c r="AG831" s="4"/>
      <c r="AH831" s="5"/>
      <c r="AI831" s="5"/>
      <c r="AJ831" s="5"/>
      <c r="AK831" s="5"/>
      <c r="AL831" s="5"/>
      <c r="AM831" s="5"/>
      <c r="AN831" s="5"/>
    </row>
    <row r="832" spans="1:40" ht="12.75" x14ac:dyDescent="0.3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8"/>
      <c r="AE832" s="5"/>
      <c r="AF832" s="8"/>
      <c r="AG832" s="4"/>
      <c r="AH832" s="5"/>
      <c r="AI832" s="5"/>
      <c r="AJ832" s="5"/>
      <c r="AK832" s="5"/>
      <c r="AL832" s="5"/>
      <c r="AM832" s="5"/>
      <c r="AN832" s="5"/>
    </row>
    <row r="833" spans="1:40" ht="12.75" x14ac:dyDescent="0.3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8"/>
      <c r="AE833" s="5"/>
      <c r="AF833" s="8"/>
      <c r="AG833" s="4"/>
      <c r="AH833" s="5"/>
      <c r="AI833" s="5"/>
      <c r="AJ833" s="5"/>
      <c r="AK833" s="5"/>
      <c r="AL833" s="5"/>
      <c r="AM833" s="5"/>
      <c r="AN833" s="5"/>
    </row>
    <row r="834" spans="1:40" ht="12.75" x14ac:dyDescent="0.3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8"/>
      <c r="AE834" s="5"/>
      <c r="AF834" s="8"/>
      <c r="AG834" s="4"/>
      <c r="AH834" s="5"/>
      <c r="AI834" s="5"/>
      <c r="AJ834" s="5"/>
      <c r="AK834" s="5"/>
      <c r="AL834" s="5"/>
      <c r="AM834" s="5"/>
      <c r="AN834" s="5"/>
    </row>
    <row r="835" spans="1:40" ht="12.75" x14ac:dyDescent="0.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8"/>
      <c r="AE835" s="5"/>
      <c r="AF835" s="8"/>
      <c r="AG835" s="4"/>
      <c r="AH835" s="5"/>
      <c r="AI835" s="5"/>
      <c r="AJ835" s="5"/>
      <c r="AK835" s="5"/>
      <c r="AL835" s="5"/>
      <c r="AM835" s="5"/>
      <c r="AN835" s="5"/>
    </row>
    <row r="836" spans="1:40" ht="12.75" x14ac:dyDescent="0.3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8"/>
      <c r="AE836" s="5"/>
      <c r="AF836" s="8"/>
      <c r="AG836" s="4"/>
      <c r="AH836" s="5"/>
      <c r="AI836" s="5"/>
      <c r="AJ836" s="5"/>
      <c r="AK836" s="5"/>
      <c r="AL836" s="5"/>
      <c r="AM836" s="5"/>
      <c r="AN836" s="5"/>
    </row>
    <row r="837" spans="1:40" ht="12.75" x14ac:dyDescent="0.3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8"/>
      <c r="AE837" s="5"/>
      <c r="AF837" s="8"/>
      <c r="AG837" s="4"/>
      <c r="AH837" s="5"/>
      <c r="AI837" s="5"/>
      <c r="AJ837" s="5"/>
      <c r="AK837" s="5"/>
      <c r="AL837" s="5"/>
      <c r="AM837" s="5"/>
      <c r="AN837" s="5"/>
    </row>
    <row r="838" spans="1:40" ht="12.75" x14ac:dyDescent="0.3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8"/>
      <c r="AE838" s="5"/>
      <c r="AF838" s="8"/>
      <c r="AG838" s="4"/>
      <c r="AH838" s="5"/>
      <c r="AI838" s="5"/>
      <c r="AJ838" s="5"/>
      <c r="AK838" s="5"/>
      <c r="AL838" s="5"/>
      <c r="AM838" s="5"/>
      <c r="AN838" s="5"/>
    </row>
    <row r="839" spans="1:40" ht="12.75" x14ac:dyDescent="0.3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8"/>
      <c r="AE839" s="5"/>
      <c r="AF839" s="8"/>
      <c r="AG839" s="4"/>
      <c r="AH839" s="5"/>
      <c r="AI839" s="5"/>
      <c r="AJ839" s="5"/>
      <c r="AK839" s="5"/>
      <c r="AL839" s="5"/>
      <c r="AM839" s="5"/>
      <c r="AN839" s="5"/>
    </row>
    <row r="840" spans="1:40" ht="12.75" x14ac:dyDescent="0.3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8"/>
      <c r="AE840" s="5"/>
      <c r="AF840" s="8"/>
      <c r="AG840" s="4"/>
      <c r="AH840" s="5"/>
      <c r="AI840" s="5"/>
      <c r="AJ840" s="5"/>
      <c r="AK840" s="5"/>
      <c r="AL840" s="5"/>
      <c r="AM840" s="5"/>
      <c r="AN840" s="5"/>
    </row>
    <row r="841" spans="1:40" ht="12.75" x14ac:dyDescent="0.3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8"/>
      <c r="AE841" s="5"/>
      <c r="AF841" s="8"/>
      <c r="AG841" s="4"/>
      <c r="AH841" s="5"/>
      <c r="AI841" s="5"/>
      <c r="AJ841" s="5"/>
      <c r="AK841" s="5"/>
      <c r="AL841" s="5"/>
      <c r="AM841" s="5"/>
      <c r="AN841" s="5"/>
    </row>
    <row r="842" spans="1:40" ht="12.75" x14ac:dyDescent="0.3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8"/>
      <c r="AE842" s="5"/>
      <c r="AF842" s="8"/>
      <c r="AG842" s="4"/>
      <c r="AH842" s="5"/>
      <c r="AI842" s="5"/>
      <c r="AJ842" s="5"/>
      <c r="AK842" s="5"/>
      <c r="AL842" s="5"/>
      <c r="AM842" s="5"/>
      <c r="AN842" s="5"/>
    </row>
    <row r="843" spans="1:40" ht="12.75" x14ac:dyDescent="0.3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8"/>
      <c r="AE843" s="5"/>
      <c r="AF843" s="8"/>
      <c r="AG843" s="4"/>
      <c r="AH843" s="5"/>
      <c r="AI843" s="5"/>
      <c r="AJ843" s="5"/>
      <c r="AK843" s="5"/>
      <c r="AL843" s="5"/>
      <c r="AM843" s="5"/>
      <c r="AN843" s="5"/>
    </row>
    <row r="844" spans="1:40" ht="12.75" x14ac:dyDescent="0.3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8"/>
      <c r="AE844" s="5"/>
      <c r="AF844" s="8"/>
      <c r="AG844" s="4"/>
      <c r="AH844" s="5"/>
      <c r="AI844" s="5"/>
      <c r="AJ844" s="5"/>
      <c r="AK844" s="5"/>
      <c r="AL844" s="5"/>
      <c r="AM844" s="5"/>
      <c r="AN844" s="5"/>
    </row>
    <row r="845" spans="1:40" ht="12.75" x14ac:dyDescent="0.3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8"/>
      <c r="AE845" s="5"/>
      <c r="AF845" s="8"/>
      <c r="AG845" s="4"/>
      <c r="AH845" s="5"/>
      <c r="AI845" s="5"/>
      <c r="AJ845" s="5"/>
      <c r="AK845" s="5"/>
      <c r="AL845" s="5"/>
      <c r="AM845" s="5"/>
      <c r="AN845" s="5"/>
    </row>
    <row r="846" spans="1:40" ht="12.75" x14ac:dyDescent="0.3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8"/>
      <c r="AE846" s="5"/>
      <c r="AF846" s="8"/>
      <c r="AG846" s="4"/>
      <c r="AH846" s="5"/>
      <c r="AI846" s="5"/>
      <c r="AJ846" s="5"/>
      <c r="AK846" s="5"/>
      <c r="AL846" s="5"/>
      <c r="AM846" s="5"/>
      <c r="AN846" s="5"/>
    </row>
    <row r="847" spans="1:40" ht="12.75" x14ac:dyDescent="0.3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8"/>
      <c r="AE847" s="5"/>
      <c r="AF847" s="8"/>
      <c r="AG847" s="4"/>
      <c r="AH847" s="5"/>
      <c r="AI847" s="5"/>
      <c r="AJ847" s="5"/>
      <c r="AK847" s="5"/>
      <c r="AL847" s="5"/>
      <c r="AM847" s="5"/>
      <c r="AN847" s="5"/>
    </row>
    <row r="848" spans="1:40" ht="12.75" x14ac:dyDescent="0.3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8"/>
      <c r="AE848" s="5"/>
      <c r="AF848" s="8"/>
      <c r="AG848" s="4"/>
      <c r="AH848" s="5"/>
      <c r="AI848" s="5"/>
      <c r="AJ848" s="5"/>
      <c r="AK848" s="5"/>
      <c r="AL848" s="5"/>
      <c r="AM848" s="5"/>
      <c r="AN848" s="5"/>
    </row>
    <row r="849" spans="1:40" ht="12.75" x14ac:dyDescent="0.3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8"/>
      <c r="AE849" s="5"/>
      <c r="AF849" s="8"/>
      <c r="AG849" s="4"/>
      <c r="AH849" s="5"/>
      <c r="AI849" s="5"/>
      <c r="AJ849" s="5"/>
      <c r="AK849" s="5"/>
      <c r="AL849" s="5"/>
      <c r="AM849" s="5"/>
      <c r="AN849" s="5"/>
    </row>
    <row r="850" spans="1:40" ht="12.75" x14ac:dyDescent="0.3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8"/>
      <c r="AE850" s="5"/>
      <c r="AF850" s="8"/>
      <c r="AG850" s="4"/>
      <c r="AH850" s="5"/>
      <c r="AI850" s="5"/>
      <c r="AJ850" s="5"/>
      <c r="AK850" s="5"/>
      <c r="AL850" s="5"/>
      <c r="AM850" s="5"/>
      <c r="AN850" s="5"/>
    </row>
    <row r="851" spans="1:40" ht="12.75" x14ac:dyDescent="0.3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8"/>
      <c r="AE851" s="5"/>
      <c r="AF851" s="8"/>
      <c r="AG851" s="4"/>
      <c r="AH851" s="5"/>
      <c r="AI851" s="5"/>
      <c r="AJ851" s="5"/>
      <c r="AK851" s="5"/>
      <c r="AL851" s="5"/>
      <c r="AM851" s="5"/>
      <c r="AN851" s="5"/>
    </row>
    <row r="852" spans="1:40" ht="12.75" x14ac:dyDescent="0.3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8"/>
      <c r="AE852" s="5"/>
      <c r="AF852" s="8"/>
      <c r="AG852" s="4"/>
      <c r="AH852" s="5"/>
      <c r="AI852" s="5"/>
      <c r="AJ852" s="5"/>
      <c r="AK852" s="5"/>
      <c r="AL852" s="5"/>
      <c r="AM852" s="5"/>
      <c r="AN852" s="5"/>
    </row>
    <row r="853" spans="1:40" ht="12.75" x14ac:dyDescent="0.3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8"/>
      <c r="AE853" s="5"/>
      <c r="AF853" s="8"/>
      <c r="AG853" s="4"/>
      <c r="AH853" s="5"/>
      <c r="AI853" s="5"/>
      <c r="AJ853" s="5"/>
      <c r="AK853" s="5"/>
      <c r="AL853" s="5"/>
      <c r="AM853" s="5"/>
      <c r="AN853" s="5"/>
    </row>
    <row r="854" spans="1:40" ht="12.75" x14ac:dyDescent="0.3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8"/>
      <c r="AE854" s="5"/>
      <c r="AF854" s="8"/>
      <c r="AG854" s="4"/>
      <c r="AH854" s="5"/>
      <c r="AI854" s="5"/>
      <c r="AJ854" s="5"/>
      <c r="AK854" s="5"/>
      <c r="AL854" s="5"/>
      <c r="AM854" s="5"/>
      <c r="AN854" s="5"/>
    </row>
    <row r="855" spans="1:40" ht="12.75" x14ac:dyDescent="0.3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8"/>
      <c r="AE855" s="5"/>
      <c r="AF855" s="8"/>
      <c r="AG855" s="4"/>
      <c r="AH855" s="5"/>
      <c r="AI855" s="5"/>
      <c r="AJ855" s="5"/>
      <c r="AK855" s="5"/>
      <c r="AL855" s="5"/>
      <c r="AM855" s="5"/>
      <c r="AN855" s="5"/>
    </row>
    <row r="856" spans="1:40" ht="12.75" x14ac:dyDescent="0.3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8"/>
      <c r="AE856" s="5"/>
      <c r="AF856" s="8"/>
      <c r="AG856" s="4"/>
      <c r="AH856" s="5"/>
      <c r="AI856" s="5"/>
      <c r="AJ856" s="5"/>
      <c r="AK856" s="5"/>
      <c r="AL856" s="5"/>
      <c r="AM856" s="5"/>
      <c r="AN856" s="5"/>
    </row>
    <row r="857" spans="1:40" ht="12.75" x14ac:dyDescent="0.3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8"/>
      <c r="AE857" s="5"/>
      <c r="AF857" s="8"/>
      <c r="AG857" s="4"/>
      <c r="AH857" s="5"/>
      <c r="AI857" s="5"/>
      <c r="AJ857" s="5"/>
      <c r="AK857" s="5"/>
      <c r="AL857" s="5"/>
      <c r="AM857" s="5"/>
      <c r="AN857" s="5"/>
    </row>
    <row r="858" spans="1:40" ht="12.75" x14ac:dyDescent="0.3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8"/>
      <c r="AE858" s="5"/>
      <c r="AF858" s="8"/>
      <c r="AG858" s="4"/>
      <c r="AH858" s="5"/>
      <c r="AI858" s="5"/>
      <c r="AJ858" s="5"/>
      <c r="AK858" s="5"/>
      <c r="AL858" s="5"/>
      <c r="AM858" s="5"/>
      <c r="AN858" s="5"/>
    </row>
    <row r="859" spans="1:40" ht="12.75" x14ac:dyDescent="0.3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8"/>
      <c r="AE859" s="5"/>
      <c r="AF859" s="8"/>
      <c r="AG859" s="4"/>
      <c r="AH859" s="5"/>
      <c r="AI859" s="5"/>
      <c r="AJ859" s="5"/>
      <c r="AK859" s="5"/>
      <c r="AL859" s="5"/>
      <c r="AM859" s="5"/>
      <c r="AN859" s="5"/>
    </row>
    <row r="860" spans="1:40" ht="12.75" x14ac:dyDescent="0.3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8"/>
      <c r="AE860" s="5"/>
      <c r="AF860" s="8"/>
      <c r="AG860" s="4"/>
      <c r="AH860" s="5"/>
      <c r="AI860" s="5"/>
      <c r="AJ860" s="5"/>
      <c r="AK860" s="5"/>
      <c r="AL860" s="5"/>
      <c r="AM860" s="5"/>
      <c r="AN860" s="5"/>
    </row>
    <row r="861" spans="1:40" ht="12.75" x14ac:dyDescent="0.3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8"/>
      <c r="AE861" s="5"/>
      <c r="AF861" s="8"/>
      <c r="AG861" s="4"/>
      <c r="AH861" s="5"/>
      <c r="AI861" s="5"/>
      <c r="AJ861" s="5"/>
      <c r="AK861" s="5"/>
      <c r="AL861" s="5"/>
      <c r="AM861" s="5"/>
      <c r="AN861" s="5"/>
    </row>
    <row r="862" spans="1:40" ht="12.75" x14ac:dyDescent="0.3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8"/>
      <c r="AE862" s="5"/>
      <c r="AF862" s="8"/>
      <c r="AG862" s="4"/>
      <c r="AH862" s="5"/>
      <c r="AI862" s="5"/>
      <c r="AJ862" s="5"/>
      <c r="AK862" s="5"/>
      <c r="AL862" s="5"/>
      <c r="AM862" s="5"/>
      <c r="AN862" s="5"/>
    </row>
    <row r="863" spans="1:40" ht="12.75" x14ac:dyDescent="0.3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8"/>
      <c r="AE863" s="5"/>
      <c r="AF863" s="8"/>
      <c r="AG863" s="4"/>
      <c r="AH863" s="5"/>
      <c r="AI863" s="5"/>
      <c r="AJ863" s="5"/>
      <c r="AK863" s="5"/>
      <c r="AL863" s="5"/>
      <c r="AM863" s="5"/>
      <c r="AN863" s="5"/>
    </row>
    <row r="864" spans="1:40" ht="12.75" x14ac:dyDescent="0.3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8"/>
      <c r="AE864" s="5"/>
      <c r="AF864" s="8"/>
      <c r="AG864" s="4"/>
      <c r="AH864" s="5"/>
      <c r="AI864" s="5"/>
      <c r="AJ864" s="5"/>
      <c r="AK864" s="5"/>
      <c r="AL864" s="5"/>
      <c r="AM864" s="5"/>
      <c r="AN864" s="5"/>
    </row>
    <row r="865" spans="1:40" ht="12.75" x14ac:dyDescent="0.3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8"/>
      <c r="AE865" s="5"/>
      <c r="AF865" s="8"/>
      <c r="AG865" s="4"/>
      <c r="AH865" s="5"/>
      <c r="AI865" s="5"/>
      <c r="AJ865" s="5"/>
      <c r="AK865" s="5"/>
      <c r="AL865" s="5"/>
      <c r="AM865" s="5"/>
      <c r="AN865" s="5"/>
    </row>
    <row r="866" spans="1:40" ht="12.75" x14ac:dyDescent="0.3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8"/>
      <c r="AE866" s="5"/>
      <c r="AF866" s="8"/>
      <c r="AG866" s="4"/>
      <c r="AH866" s="5"/>
      <c r="AI866" s="5"/>
      <c r="AJ866" s="5"/>
      <c r="AK866" s="5"/>
      <c r="AL866" s="5"/>
      <c r="AM866" s="5"/>
      <c r="AN866" s="5"/>
    </row>
    <row r="867" spans="1:40" ht="12.75" x14ac:dyDescent="0.3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8"/>
      <c r="AE867" s="5"/>
      <c r="AF867" s="8"/>
      <c r="AG867" s="4"/>
      <c r="AH867" s="5"/>
      <c r="AI867" s="5"/>
      <c r="AJ867" s="5"/>
      <c r="AK867" s="5"/>
      <c r="AL867" s="5"/>
      <c r="AM867" s="5"/>
      <c r="AN867" s="5"/>
    </row>
    <row r="868" spans="1:40" ht="12.75" x14ac:dyDescent="0.3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8"/>
      <c r="AE868" s="5"/>
      <c r="AF868" s="8"/>
      <c r="AG868" s="4"/>
      <c r="AH868" s="5"/>
      <c r="AI868" s="5"/>
      <c r="AJ868" s="5"/>
      <c r="AK868" s="5"/>
      <c r="AL868" s="5"/>
      <c r="AM868" s="5"/>
      <c r="AN868" s="5"/>
    </row>
    <row r="869" spans="1:40" ht="12.75" x14ac:dyDescent="0.3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8"/>
      <c r="AE869" s="5"/>
      <c r="AF869" s="8"/>
      <c r="AG869" s="4"/>
      <c r="AH869" s="5"/>
      <c r="AI869" s="5"/>
      <c r="AJ869" s="5"/>
      <c r="AK869" s="5"/>
      <c r="AL869" s="5"/>
      <c r="AM869" s="5"/>
      <c r="AN869" s="5"/>
    </row>
    <row r="870" spans="1:40" ht="12.75" x14ac:dyDescent="0.3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8"/>
      <c r="AE870" s="5"/>
      <c r="AF870" s="8"/>
      <c r="AG870" s="4"/>
      <c r="AH870" s="5"/>
      <c r="AI870" s="5"/>
      <c r="AJ870" s="5"/>
      <c r="AK870" s="5"/>
      <c r="AL870" s="5"/>
      <c r="AM870" s="5"/>
      <c r="AN870" s="5"/>
    </row>
    <row r="871" spans="1:40" ht="12.75" x14ac:dyDescent="0.3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8"/>
      <c r="AE871" s="5"/>
      <c r="AF871" s="8"/>
      <c r="AG871" s="4"/>
      <c r="AH871" s="5"/>
      <c r="AI871" s="5"/>
      <c r="AJ871" s="5"/>
      <c r="AK871" s="5"/>
      <c r="AL871" s="5"/>
      <c r="AM871" s="5"/>
      <c r="AN871" s="5"/>
    </row>
    <row r="872" spans="1:40" ht="12.75" x14ac:dyDescent="0.3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8"/>
      <c r="AE872" s="5"/>
      <c r="AF872" s="8"/>
      <c r="AG872" s="4"/>
      <c r="AH872" s="5"/>
      <c r="AI872" s="5"/>
      <c r="AJ872" s="5"/>
      <c r="AK872" s="5"/>
      <c r="AL872" s="5"/>
      <c r="AM872" s="5"/>
      <c r="AN872" s="5"/>
    </row>
    <row r="873" spans="1:40" ht="12.75" x14ac:dyDescent="0.3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8"/>
      <c r="AE873" s="5"/>
      <c r="AF873" s="8"/>
      <c r="AG873" s="4"/>
      <c r="AH873" s="5"/>
      <c r="AI873" s="5"/>
      <c r="AJ873" s="5"/>
      <c r="AK873" s="5"/>
      <c r="AL873" s="5"/>
      <c r="AM873" s="5"/>
      <c r="AN873" s="5"/>
    </row>
    <row r="874" spans="1:40" ht="12.75" x14ac:dyDescent="0.3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8"/>
      <c r="AE874" s="5"/>
      <c r="AF874" s="8"/>
      <c r="AG874" s="4"/>
      <c r="AH874" s="5"/>
      <c r="AI874" s="5"/>
      <c r="AJ874" s="5"/>
      <c r="AK874" s="5"/>
      <c r="AL874" s="5"/>
      <c r="AM874" s="5"/>
      <c r="AN874" s="5"/>
    </row>
    <row r="875" spans="1:40" ht="12.75" x14ac:dyDescent="0.3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8"/>
      <c r="AE875" s="5"/>
      <c r="AF875" s="8"/>
      <c r="AG875" s="4"/>
      <c r="AH875" s="5"/>
      <c r="AI875" s="5"/>
      <c r="AJ875" s="5"/>
      <c r="AK875" s="5"/>
      <c r="AL875" s="5"/>
      <c r="AM875" s="5"/>
      <c r="AN875" s="5"/>
    </row>
    <row r="876" spans="1:40" ht="12.75" x14ac:dyDescent="0.3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8"/>
      <c r="AE876" s="5"/>
      <c r="AF876" s="8"/>
      <c r="AG876" s="4"/>
      <c r="AH876" s="5"/>
      <c r="AI876" s="5"/>
      <c r="AJ876" s="5"/>
      <c r="AK876" s="5"/>
      <c r="AL876" s="5"/>
      <c r="AM876" s="5"/>
      <c r="AN876" s="5"/>
    </row>
    <row r="877" spans="1:40" ht="12.75" x14ac:dyDescent="0.3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8"/>
      <c r="AE877" s="5"/>
      <c r="AF877" s="8"/>
      <c r="AG877" s="4"/>
      <c r="AH877" s="5"/>
      <c r="AI877" s="5"/>
      <c r="AJ877" s="5"/>
      <c r="AK877" s="5"/>
      <c r="AL877" s="5"/>
      <c r="AM877" s="5"/>
      <c r="AN877" s="5"/>
    </row>
    <row r="878" spans="1:40" ht="12.75" x14ac:dyDescent="0.3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8"/>
      <c r="AE878" s="5"/>
      <c r="AF878" s="8"/>
      <c r="AG878" s="4"/>
      <c r="AH878" s="5"/>
      <c r="AI878" s="5"/>
      <c r="AJ878" s="5"/>
      <c r="AK878" s="5"/>
      <c r="AL878" s="5"/>
      <c r="AM878" s="5"/>
      <c r="AN878" s="5"/>
    </row>
    <row r="879" spans="1:40" ht="12.75" x14ac:dyDescent="0.3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8"/>
      <c r="AE879" s="5"/>
      <c r="AF879" s="8"/>
      <c r="AG879" s="4"/>
      <c r="AH879" s="5"/>
      <c r="AI879" s="5"/>
      <c r="AJ879" s="5"/>
      <c r="AK879" s="5"/>
      <c r="AL879" s="5"/>
      <c r="AM879" s="5"/>
      <c r="AN879" s="5"/>
    </row>
    <row r="880" spans="1:40" ht="12.75" x14ac:dyDescent="0.3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8"/>
      <c r="AE880" s="5"/>
      <c r="AF880" s="8"/>
      <c r="AG880" s="4"/>
      <c r="AH880" s="5"/>
      <c r="AI880" s="5"/>
      <c r="AJ880" s="5"/>
      <c r="AK880" s="5"/>
      <c r="AL880" s="5"/>
      <c r="AM880" s="5"/>
      <c r="AN880" s="5"/>
    </row>
    <row r="881" spans="1:40" ht="12.75" x14ac:dyDescent="0.3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8"/>
      <c r="AE881" s="5"/>
      <c r="AF881" s="8"/>
      <c r="AG881" s="4"/>
      <c r="AH881" s="5"/>
      <c r="AI881" s="5"/>
      <c r="AJ881" s="5"/>
      <c r="AK881" s="5"/>
      <c r="AL881" s="5"/>
      <c r="AM881" s="5"/>
      <c r="AN881" s="5"/>
    </row>
    <row r="882" spans="1:40" ht="12.75" x14ac:dyDescent="0.3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8"/>
      <c r="AE882" s="5"/>
      <c r="AF882" s="8"/>
      <c r="AG882" s="4"/>
      <c r="AH882" s="5"/>
      <c r="AI882" s="5"/>
      <c r="AJ882" s="5"/>
      <c r="AK882" s="5"/>
      <c r="AL882" s="5"/>
      <c r="AM882" s="5"/>
      <c r="AN882" s="5"/>
    </row>
    <row r="883" spans="1:40" ht="12.75" x14ac:dyDescent="0.3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8"/>
      <c r="AE883" s="5"/>
      <c r="AF883" s="8"/>
      <c r="AG883" s="4"/>
      <c r="AH883" s="5"/>
      <c r="AI883" s="5"/>
      <c r="AJ883" s="5"/>
      <c r="AK883" s="5"/>
      <c r="AL883" s="5"/>
      <c r="AM883" s="5"/>
      <c r="AN883" s="5"/>
    </row>
    <row r="884" spans="1:40" ht="12.75" x14ac:dyDescent="0.3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8"/>
      <c r="AE884" s="5"/>
      <c r="AF884" s="8"/>
      <c r="AG884" s="4"/>
      <c r="AH884" s="5"/>
      <c r="AI884" s="5"/>
      <c r="AJ884" s="5"/>
      <c r="AK884" s="5"/>
      <c r="AL884" s="5"/>
      <c r="AM884" s="5"/>
      <c r="AN884" s="5"/>
    </row>
    <row r="885" spans="1:40" ht="12.75" x14ac:dyDescent="0.3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8"/>
      <c r="AE885" s="5"/>
      <c r="AF885" s="8"/>
      <c r="AG885" s="4"/>
      <c r="AH885" s="5"/>
      <c r="AI885" s="5"/>
      <c r="AJ885" s="5"/>
      <c r="AK885" s="5"/>
      <c r="AL885" s="5"/>
      <c r="AM885" s="5"/>
      <c r="AN885" s="5"/>
    </row>
    <row r="886" spans="1:40" ht="12.75" x14ac:dyDescent="0.3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8"/>
      <c r="AE886" s="5"/>
      <c r="AF886" s="8"/>
      <c r="AG886" s="4"/>
      <c r="AH886" s="5"/>
      <c r="AI886" s="5"/>
      <c r="AJ886" s="5"/>
      <c r="AK886" s="5"/>
      <c r="AL886" s="5"/>
      <c r="AM886" s="5"/>
      <c r="AN886" s="5"/>
    </row>
    <row r="887" spans="1:40" ht="12.75" x14ac:dyDescent="0.3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8"/>
      <c r="AE887" s="5"/>
      <c r="AF887" s="8"/>
      <c r="AG887" s="4"/>
      <c r="AH887" s="5"/>
      <c r="AI887" s="5"/>
      <c r="AJ887" s="5"/>
      <c r="AK887" s="5"/>
      <c r="AL887" s="5"/>
      <c r="AM887" s="5"/>
      <c r="AN887" s="5"/>
    </row>
    <row r="888" spans="1:40" ht="12.75" x14ac:dyDescent="0.3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8"/>
      <c r="AE888" s="5"/>
      <c r="AF888" s="8"/>
      <c r="AG888" s="4"/>
      <c r="AH888" s="5"/>
      <c r="AI888" s="5"/>
      <c r="AJ888" s="5"/>
      <c r="AK888" s="5"/>
      <c r="AL888" s="5"/>
      <c r="AM888" s="5"/>
      <c r="AN888" s="5"/>
    </row>
    <row r="889" spans="1:40" ht="12.75" x14ac:dyDescent="0.3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8"/>
      <c r="AE889" s="5"/>
      <c r="AF889" s="8"/>
      <c r="AG889" s="4"/>
      <c r="AH889" s="5"/>
      <c r="AI889" s="5"/>
      <c r="AJ889" s="5"/>
      <c r="AK889" s="5"/>
      <c r="AL889" s="5"/>
      <c r="AM889" s="5"/>
      <c r="AN889" s="5"/>
    </row>
    <row r="890" spans="1:40" ht="12.75" x14ac:dyDescent="0.3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8"/>
      <c r="AE890" s="5"/>
      <c r="AF890" s="8"/>
      <c r="AG890" s="4"/>
      <c r="AH890" s="5"/>
      <c r="AI890" s="5"/>
      <c r="AJ890" s="5"/>
      <c r="AK890" s="5"/>
      <c r="AL890" s="5"/>
      <c r="AM890" s="5"/>
      <c r="AN890" s="5"/>
    </row>
    <row r="891" spans="1:40" ht="12.75" x14ac:dyDescent="0.3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8"/>
      <c r="AE891" s="5"/>
      <c r="AF891" s="8"/>
      <c r="AG891" s="4"/>
      <c r="AH891" s="5"/>
      <c r="AI891" s="5"/>
      <c r="AJ891" s="5"/>
      <c r="AK891" s="5"/>
      <c r="AL891" s="5"/>
      <c r="AM891" s="5"/>
      <c r="AN891" s="5"/>
    </row>
    <row r="892" spans="1:40" ht="12.75" x14ac:dyDescent="0.3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8"/>
      <c r="AE892" s="5"/>
      <c r="AF892" s="8"/>
      <c r="AG892" s="4"/>
      <c r="AH892" s="5"/>
      <c r="AI892" s="5"/>
      <c r="AJ892" s="5"/>
      <c r="AK892" s="5"/>
      <c r="AL892" s="5"/>
      <c r="AM892" s="5"/>
      <c r="AN892" s="5"/>
    </row>
    <row r="893" spans="1:40" ht="12.75" x14ac:dyDescent="0.3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8"/>
      <c r="AE893" s="5"/>
      <c r="AF893" s="8"/>
      <c r="AG893" s="4"/>
      <c r="AH893" s="5"/>
      <c r="AI893" s="5"/>
      <c r="AJ893" s="5"/>
      <c r="AK893" s="5"/>
      <c r="AL893" s="5"/>
      <c r="AM893" s="5"/>
      <c r="AN893" s="5"/>
    </row>
    <row r="894" spans="1:40" ht="12.75" x14ac:dyDescent="0.3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8"/>
      <c r="AE894" s="5"/>
      <c r="AF894" s="8"/>
      <c r="AG894" s="4"/>
      <c r="AH894" s="5"/>
      <c r="AI894" s="5"/>
      <c r="AJ894" s="5"/>
      <c r="AK894" s="5"/>
      <c r="AL894" s="5"/>
      <c r="AM894" s="5"/>
      <c r="AN894" s="5"/>
    </row>
    <row r="895" spans="1:40" ht="12.75" x14ac:dyDescent="0.3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8"/>
      <c r="AE895" s="5"/>
      <c r="AF895" s="8"/>
      <c r="AG895" s="4"/>
      <c r="AH895" s="5"/>
      <c r="AI895" s="5"/>
      <c r="AJ895" s="5"/>
      <c r="AK895" s="5"/>
      <c r="AL895" s="5"/>
      <c r="AM895" s="5"/>
      <c r="AN895" s="5"/>
    </row>
    <row r="896" spans="1:40" ht="12.75" x14ac:dyDescent="0.3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8"/>
      <c r="AE896" s="5"/>
      <c r="AF896" s="8"/>
      <c r="AG896" s="4"/>
      <c r="AH896" s="5"/>
      <c r="AI896" s="5"/>
      <c r="AJ896" s="5"/>
      <c r="AK896" s="5"/>
      <c r="AL896" s="5"/>
      <c r="AM896" s="5"/>
      <c r="AN896" s="5"/>
    </row>
    <row r="897" spans="1:40" ht="12.75" x14ac:dyDescent="0.3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8"/>
      <c r="AE897" s="5"/>
      <c r="AF897" s="8"/>
      <c r="AG897" s="4"/>
      <c r="AH897" s="5"/>
      <c r="AI897" s="5"/>
      <c r="AJ897" s="5"/>
      <c r="AK897" s="5"/>
      <c r="AL897" s="5"/>
      <c r="AM897" s="5"/>
      <c r="AN897" s="5"/>
    </row>
    <row r="898" spans="1:40" ht="12.75" x14ac:dyDescent="0.3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8"/>
      <c r="AE898" s="5"/>
      <c r="AF898" s="8"/>
      <c r="AG898" s="4"/>
      <c r="AH898" s="5"/>
      <c r="AI898" s="5"/>
      <c r="AJ898" s="5"/>
      <c r="AK898" s="5"/>
      <c r="AL898" s="5"/>
      <c r="AM898" s="5"/>
      <c r="AN898" s="5"/>
    </row>
    <row r="899" spans="1:40" ht="12.75" x14ac:dyDescent="0.3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8"/>
      <c r="AE899" s="5"/>
      <c r="AF899" s="8"/>
      <c r="AG899" s="4"/>
      <c r="AH899" s="5"/>
      <c r="AI899" s="5"/>
      <c r="AJ899" s="5"/>
      <c r="AK899" s="5"/>
      <c r="AL899" s="5"/>
      <c r="AM899" s="5"/>
      <c r="AN899" s="5"/>
    </row>
    <row r="900" spans="1:40" ht="12.75" x14ac:dyDescent="0.3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8"/>
      <c r="AE900" s="5"/>
      <c r="AF900" s="8"/>
      <c r="AG900" s="4"/>
      <c r="AH900" s="5"/>
      <c r="AI900" s="5"/>
      <c r="AJ900" s="5"/>
      <c r="AK900" s="5"/>
      <c r="AL900" s="5"/>
      <c r="AM900" s="5"/>
      <c r="AN900" s="5"/>
    </row>
    <row r="901" spans="1:40" ht="12.75" x14ac:dyDescent="0.3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8"/>
      <c r="AE901" s="5"/>
      <c r="AF901" s="8"/>
      <c r="AG901" s="4"/>
      <c r="AH901" s="5"/>
      <c r="AI901" s="5"/>
      <c r="AJ901" s="5"/>
      <c r="AK901" s="5"/>
      <c r="AL901" s="5"/>
      <c r="AM901" s="5"/>
      <c r="AN901" s="5"/>
    </row>
    <row r="902" spans="1:40" ht="12.75" x14ac:dyDescent="0.3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8"/>
      <c r="AE902" s="5"/>
      <c r="AF902" s="8"/>
      <c r="AG902" s="4"/>
      <c r="AH902" s="5"/>
      <c r="AI902" s="5"/>
      <c r="AJ902" s="5"/>
      <c r="AK902" s="5"/>
      <c r="AL902" s="5"/>
      <c r="AM902" s="5"/>
      <c r="AN902" s="5"/>
    </row>
    <row r="903" spans="1:40" ht="12.75" x14ac:dyDescent="0.3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8"/>
      <c r="AE903" s="5"/>
      <c r="AF903" s="8"/>
      <c r="AG903" s="4"/>
      <c r="AH903" s="5"/>
      <c r="AI903" s="5"/>
      <c r="AJ903" s="5"/>
      <c r="AK903" s="5"/>
      <c r="AL903" s="5"/>
      <c r="AM903" s="5"/>
      <c r="AN903" s="5"/>
    </row>
    <row r="904" spans="1:40" ht="12.75" x14ac:dyDescent="0.3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8"/>
      <c r="AE904" s="5"/>
      <c r="AF904" s="8"/>
      <c r="AG904" s="4"/>
      <c r="AH904" s="5"/>
      <c r="AI904" s="5"/>
      <c r="AJ904" s="5"/>
      <c r="AK904" s="5"/>
      <c r="AL904" s="5"/>
      <c r="AM904" s="5"/>
      <c r="AN904" s="5"/>
    </row>
    <row r="905" spans="1:40" ht="12.75" x14ac:dyDescent="0.3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8"/>
      <c r="AE905" s="5"/>
      <c r="AF905" s="8"/>
      <c r="AG905" s="4"/>
      <c r="AH905" s="5"/>
      <c r="AI905" s="5"/>
      <c r="AJ905" s="5"/>
      <c r="AK905" s="5"/>
      <c r="AL905" s="5"/>
      <c r="AM905" s="5"/>
      <c r="AN905" s="5"/>
    </row>
    <row r="906" spans="1:40" ht="12.75" x14ac:dyDescent="0.3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8"/>
      <c r="AE906" s="5"/>
      <c r="AF906" s="8"/>
      <c r="AG906" s="4"/>
      <c r="AH906" s="5"/>
      <c r="AI906" s="5"/>
      <c r="AJ906" s="5"/>
      <c r="AK906" s="5"/>
      <c r="AL906" s="5"/>
      <c r="AM906" s="5"/>
      <c r="AN906" s="5"/>
    </row>
    <row r="907" spans="1:40" ht="12.75" x14ac:dyDescent="0.3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8"/>
      <c r="AE907" s="5"/>
      <c r="AF907" s="8"/>
      <c r="AG907" s="4"/>
      <c r="AH907" s="5"/>
      <c r="AI907" s="5"/>
      <c r="AJ907" s="5"/>
      <c r="AK907" s="5"/>
      <c r="AL907" s="5"/>
      <c r="AM907" s="5"/>
      <c r="AN907" s="5"/>
    </row>
    <row r="908" spans="1:40" ht="12.75" x14ac:dyDescent="0.3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8"/>
      <c r="AE908" s="5"/>
      <c r="AF908" s="8"/>
      <c r="AG908" s="4"/>
      <c r="AH908" s="5"/>
      <c r="AI908" s="5"/>
      <c r="AJ908" s="5"/>
      <c r="AK908" s="5"/>
      <c r="AL908" s="5"/>
      <c r="AM908" s="5"/>
      <c r="AN908" s="5"/>
    </row>
    <row r="909" spans="1:40" ht="12.75" x14ac:dyDescent="0.3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8"/>
      <c r="AE909" s="5"/>
      <c r="AF909" s="8"/>
      <c r="AG909" s="4"/>
      <c r="AH909" s="5"/>
      <c r="AI909" s="5"/>
      <c r="AJ909" s="5"/>
      <c r="AK909" s="5"/>
      <c r="AL909" s="5"/>
      <c r="AM909" s="5"/>
      <c r="AN909" s="5"/>
    </row>
    <row r="910" spans="1:40" ht="12.75" x14ac:dyDescent="0.3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8"/>
      <c r="AE910" s="5"/>
      <c r="AF910" s="8"/>
      <c r="AG910" s="4"/>
      <c r="AH910" s="5"/>
      <c r="AI910" s="5"/>
      <c r="AJ910" s="5"/>
      <c r="AK910" s="5"/>
      <c r="AL910" s="5"/>
      <c r="AM910" s="5"/>
      <c r="AN910" s="5"/>
    </row>
    <row r="911" spans="1:40" ht="12.75" x14ac:dyDescent="0.3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8"/>
      <c r="AE911" s="5"/>
      <c r="AF911" s="8"/>
      <c r="AG911" s="4"/>
      <c r="AH911" s="5"/>
      <c r="AI911" s="5"/>
      <c r="AJ911" s="5"/>
      <c r="AK911" s="5"/>
      <c r="AL911" s="5"/>
      <c r="AM911" s="5"/>
      <c r="AN911" s="5"/>
    </row>
    <row r="912" spans="1:40" ht="12.75" x14ac:dyDescent="0.3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8"/>
      <c r="AE912" s="5"/>
      <c r="AF912" s="8"/>
      <c r="AG912" s="4"/>
      <c r="AH912" s="5"/>
      <c r="AI912" s="5"/>
      <c r="AJ912" s="5"/>
      <c r="AK912" s="5"/>
      <c r="AL912" s="5"/>
      <c r="AM912" s="5"/>
      <c r="AN912" s="5"/>
    </row>
    <row r="913" spans="1:40" ht="12.75" x14ac:dyDescent="0.3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8"/>
      <c r="AE913" s="5"/>
      <c r="AF913" s="8"/>
      <c r="AG913" s="4"/>
      <c r="AH913" s="5"/>
      <c r="AI913" s="5"/>
      <c r="AJ913" s="5"/>
      <c r="AK913" s="5"/>
      <c r="AL913" s="5"/>
      <c r="AM913" s="5"/>
      <c r="AN913" s="5"/>
    </row>
    <row r="914" spans="1:40" ht="12.75" x14ac:dyDescent="0.3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8"/>
      <c r="AE914" s="5"/>
      <c r="AF914" s="8"/>
      <c r="AG914" s="4"/>
      <c r="AH914" s="5"/>
      <c r="AI914" s="5"/>
      <c r="AJ914" s="5"/>
      <c r="AK914" s="5"/>
      <c r="AL914" s="5"/>
      <c r="AM914" s="5"/>
      <c r="AN914" s="5"/>
    </row>
    <row r="915" spans="1:40" ht="12.75" x14ac:dyDescent="0.3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8"/>
      <c r="AE915" s="5"/>
      <c r="AF915" s="8"/>
      <c r="AG915" s="4"/>
      <c r="AH915" s="5"/>
      <c r="AI915" s="5"/>
      <c r="AJ915" s="5"/>
      <c r="AK915" s="5"/>
      <c r="AL915" s="5"/>
      <c r="AM915" s="5"/>
      <c r="AN915" s="5"/>
    </row>
    <row r="916" spans="1:40" ht="12.75" x14ac:dyDescent="0.3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8"/>
      <c r="AE916" s="5"/>
      <c r="AF916" s="8"/>
      <c r="AG916" s="4"/>
      <c r="AH916" s="5"/>
      <c r="AI916" s="5"/>
      <c r="AJ916" s="5"/>
      <c r="AK916" s="5"/>
      <c r="AL916" s="5"/>
      <c r="AM916" s="5"/>
      <c r="AN916" s="5"/>
    </row>
    <row r="917" spans="1:40" ht="12.75" x14ac:dyDescent="0.3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8"/>
      <c r="AE917" s="5"/>
      <c r="AF917" s="8"/>
      <c r="AG917" s="4"/>
      <c r="AH917" s="5"/>
      <c r="AI917" s="5"/>
      <c r="AJ917" s="5"/>
      <c r="AK917" s="5"/>
      <c r="AL917" s="5"/>
      <c r="AM917" s="5"/>
      <c r="AN917" s="5"/>
    </row>
    <row r="918" spans="1:40" ht="12.75" x14ac:dyDescent="0.3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8"/>
      <c r="AE918" s="5"/>
      <c r="AF918" s="8"/>
      <c r="AG918" s="4"/>
      <c r="AH918" s="5"/>
      <c r="AI918" s="5"/>
      <c r="AJ918" s="5"/>
      <c r="AK918" s="5"/>
      <c r="AL918" s="5"/>
      <c r="AM918" s="5"/>
      <c r="AN918" s="5"/>
    </row>
    <row r="919" spans="1:40" ht="12.75" x14ac:dyDescent="0.3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8"/>
      <c r="AE919" s="5"/>
      <c r="AF919" s="8"/>
      <c r="AG919" s="4"/>
      <c r="AH919" s="5"/>
      <c r="AI919" s="5"/>
      <c r="AJ919" s="5"/>
      <c r="AK919" s="5"/>
      <c r="AL919" s="5"/>
      <c r="AM919" s="5"/>
      <c r="AN919" s="5"/>
    </row>
    <row r="920" spans="1:40" ht="12.75" x14ac:dyDescent="0.3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8"/>
      <c r="AE920" s="5"/>
      <c r="AF920" s="8"/>
      <c r="AG920" s="4"/>
      <c r="AH920" s="5"/>
      <c r="AI920" s="5"/>
      <c r="AJ920" s="5"/>
      <c r="AK920" s="5"/>
      <c r="AL920" s="5"/>
      <c r="AM920" s="5"/>
      <c r="AN920" s="5"/>
    </row>
    <row r="921" spans="1:40" ht="12.75" x14ac:dyDescent="0.3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8"/>
      <c r="AE921" s="5"/>
      <c r="AF921" s="8"/>
      <c r="AG921" s="4"/>
      <c r="AH921" s="5"/>
      <c r="AI921" s="5"/>
      <c r="AJ921" s="5"/>
      <c r="AK921" s="5"/>
      <c r="AL921" s="5"/>
      <c r="AM921" s="5"/>
      <c r="AN921" s="5"/>
    </row>
    <row r="922" spans="1:40" ht="12.75" x14ac:dyDescent="0.3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8"/>
      <c r="AE922" s="5"/>
      <c r="AF922" s="8"/>
      <c r="AG922" s="4"/>
      <c r="AH922" s="5"/>
      <c r="AI922" s="5"/>
      <c r="AJ922" s="5"/>
      <c r="AK922" s="5"/>
      <c r="AL922" s="5"/>
      <c r="AM922" s="5"/>
      <c r="AN922" s="5"/>
    </row>
    <row r="923" spans="1:40" ht="12.75" x14ac:dyDescent="0.3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8"/>
      <c r="AE923" s="5"/>
      <c r="AF923" s="8"/>
      <c r="AG923" s="4"/>
      <c r="AH923" s="5"/>
      <c r="AI923" s="5"/>
      <c r="AJ923" s="5"/>
      <c r="AK923" s="5"/>
      <c r="AL923" s="5"/>
      <c r="AM923" s="5"/>
      <c r="AN923" s="5"/>
    </row>
    <row r="924" spans="1:40" ht="12.75" x14ac:dyDescent="0.3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8"/>
      <c r="AE924" s="5"/>
      <c r="AF924" s="8"/>
      <c r="AG924" s="4"/>
      <c r="AH924" s="5"/>
      <c r="AI924" s="5"/>
      <c r="AJ924" s="5"/>
      <c r="AK924" s="5"/>
      <c r="AL924" s="5"/>
      <c r="AM924" s="5"/>
      <c r="AN924" s="5"/>
    </row>
    <row r="925" spans="1:40" ht="12.75" x14ac:dyDescent="0.3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8"/>
      <c r="AE925" s="5"/>
      <c r="AF925" s="8"/>
      <c r="AG925" s="4"/>
      <c r="AH925" s="5"/>
      <c r="AI925" s="5"/>
      <c r="AJ925" s="5"/>
      <c r="AK925" s="5"/>
      <c r="AL925" s="5"/>
      <c r="AM925" s="5"/>
      <c r="AN925" s="5"/>
    </row>
    <row r="926" spans="1:40" ht="12.75" x14ac:dyDescent="0.3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8"/>
      <c r="AE926" s="5"/>
      <c r="AF926" s="8"/>
      <c r="AG926" s="4"/>
      <c r="AH926" s="5"/>
      <c r="AI926" s="5"/>
      <c r="AJ926" s="5"/>
      <c r="AK926" s="5"/>
      <c r="AL926" s="5"/>
      <c r="AM926" s="5"/>
      <c r="AN926" s="5"/>
    </row>
    <row r="927" spans="1:40" ht="12.75" x14ac:dyDescent="0.3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8"/>
      <c r="AE927" s="5"/>
      <c r="AF927" s="8"/>
      <c r="AG927" s="4"/>
      <c r="AH927" s="5"/>
      <c r="AI927" s="5"/>
      <c r="AJ927" s="5"/>
      <c r="AK927" s="5"/>
      <c r="AL927" s="5"/>
      <c r="AM927" s="5"/>
      <c r="AN927" s="5"/>
    </row>
    <row r="928" spans="1:40" ht="12.75" x14ac:dyDescent="0.3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8"/>
      <c r="AE928" s="5"/>
      <c r="AF928" s="8"/>
      <c r="AG928" s="4"/>
      <c r="AH928" s="5"/>
      <c r="AI928" s="5"/>
      <c r="AJ928" s="5"/>
      <c r="AK928" s="5"/>
      <c r="AL928" s="5"/>
      <c r="AM928" s="5"/>
      <c r="AN928" s="5"/>
    </row>
    <row r="929" spans="1:40" ht="12.75" x14ac:dyDescent="0.3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8"/>
      <c r="AE929" s="5"/>
      <c r="AF929" s="8"/>
      <c r="AG929" s="4"/>
      <c r="AH929" s="5"/>
      <c r="AI929" s="5"/>
      <c r="AJ929" s="5"/>
      <c r="AK929" s="5"/>
      <c r="AL929" s="5"/>
      <c r="AM929" s="5"/>
      <c r="AN929" s="5"/>
    </row>
    <row r="930" spans="1:40" ht="12.75" x14ac:dyDescent="0.3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8"/>
      <c r="AE930" s="5"/>
      <c r="AF930" s="8"/>
      <c r="AG930" s="4"/>
      <c r="AH930" s="5"/>
      <c r="AI930" s="5"/>
      <c r="AJ930" s="5"/>
      <c r="AK930" s="5"/>
      <c r="AL930" s="5"/>
      <c r="AM930" s="5"/>
      <c r="AN930" s="5"/>
    </row>
    <row r="931" spans="1:40" ht="12.75" x14ac:dyDescent="0.3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8"/>
      <c r="AE931" s="5"/>
      <c r="AF931" s="8"/>
      <c r="AG931" s="4"/>
      <c r="AH931" s="5"/>
      <c r="AI931" s="5"/>
      <c r="AJ931" s="5"/>
      <c r="AK931" s="5"/>
      <c r="AL931" s="5"/>
      <c r="AM931" s="5"/>
      <c r="AN931" s="5"/>
    </row>
    <row r="932" spans="1:40" ht="12.75" x14ac:dyDescent="0.3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8"/>
      <c r="AE932" s="5"/>
      <c r="AF932" s="8"/>
      <c r="AG932" s="4"/>
      <c r="AH932" s="5"/>
      <c r="AI932" s="5"/>
      <c r="AJ932" s="5"/>
      <c r="AK932" s="5"/>
      <c r="AL932" s="5"/>
      <c r="AM932" s="5"/>
      <c r="AN932" s="5"/>
    </row>
    <row r="933" spans="1:40" ht="12.75" x14ac:dyDescent="0.3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8"/>
      <c r="AE933" s="5"/>
      <c r="AF933" s="8"/>
      <c r="AG933" s="4"/>
      <c r="AH933" s="5"/>
      <c r="AI933" s="5"/>
      <c r="AJ933" s="5"/>
      <c r="AK933" s="5"/>
      <c r="AL933" s="5"/>
      <c r="AM933" s="5"/>
      <c r="AN933" s="5"/>
    </row>
    <row r="934" spans="1:40" ht="12.75" x14ac:dyDescent="0.3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8"/>
      <c r="AE934" s="5"/>
      <c r="AF934" s="8"/>
      <c r="AG934" s="4"/>
      <c r="AH934" s="5"/>
      <c r="AI934" s="5"/>
      <c r="AJ934" s="5"/>
      <c r="AK934" s="5"/>
      <c r="AL934" s="5"/>
      <c r="AM934" s="5"/>
      <c r="AN934" s="5"/>
    </row>
    <row r="935" spans="1:40" ht="12.75" x14ac:dyDescent="0.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8"/>
      <c r="AE935" s="5"/>
      <c r="AF935" s="8"/>
      <c r="AG935" s="4"/>
      <c r="AH935" s="5"/>
      <c r="AI935" s="5"/>
      <c r="AJ935" s="5"/>
      <c r="AK935" s="5"/>
      <c r="AL935" s="5"/>
      <c r="AM935" s="5"/>
      <c r="AN935" s="5"/>
    </row>
    <row r="936" spans="1:40" ht="12.75" x14ac:dyDescent="0.3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8"/>
      <c r="AE936" s="5"/>
      <c r="AF936" s="8"/>
      <c r="AG936" s="4"/>
      <c r="AH936" s="5"/>
      <c r="AI936" s="5"/>
      <c r="AJ936" s="5"/>
      <c r="AK936" s="5"/>
      <c r="AL936" s="5"/>
      <c r="AM936" s="5"/>
      <c r="AN936" s="5"/>
    </row>
    <row r="937" spans="1:40" ht="12.75" x14ac:dyDescent="0.3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8"/>
      <c r="AE937" s="5"/>
      <c r="AF937" s="8"/>
      <c r="AG937" s="4"/>
      <c r="AH937" s="5"/>
      <c r="AI937" s="5"/>
      <c r="AJ937" s="5"/>
      <c r="AK937" s="5"/>
      <c r="AL937" s="5"/>
      <c r="AM937" s="5"/>
      <c r="AN937" s="5"/>
    </row>
    <row r="938" spans="1:40" ht="12.75" x14ac:dyDescent="0.3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8"/>
      <c r="AE938" s="5"/>
      <c r="AF938" s="8"/>
      <c r="AG938" s="4"/>
      <c r="AH938" s="5"/>
      <c r="AI938" s="5"/>
      <c r="AJ938" s="5"/>
      <c r="AK938" s="5"/>
      <c r="AL938" s="5"/>
      <c r="AM938" s="5"/>
      <c r="AN938" s="5"/>
    </row>
    <row r="939" spans="1:40" ht="12.75" x14ac:dyDescent="0.3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8"/>
      <c r="AE939" s="5"/>
      <c r="AF939" s="8"/>
      <c r="AG939" s="4"/>
      <c r="AH939" s="5"/>
      <c r="AI939" s="5"/>
      <c r="AJ939" s="5"/>
      <c r="AK939" s="5"/>
      <c r="AL939" s="5"/>
      <c r="AM939" s="5"/>
      <c r="AN939" s="5"/>
    </row>
    <row r="940" spans="1:40" ht="12.75" x14ac:dyDescent="0.3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8"/>
      <c r="AE940" s="5"/>
      <c r="AF940" s="8"/>
      <c r="AG940" s="4"/>
      <c r="AH940" s="5"/>
      <c r="AI940" s="5"/>
      <c r="AJ940" s="5"/>
      <c r="AK940" s="5"/>
      <c r="AL940" s="5"/>
      <c r="AM940" s="5"/>
      <c r="AN940" s="5"/>
    </row>
    <row r="941" spans="1:40" ht="12.75" x14ac:dyDescent="0.3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8"/>
      <c r="AE941" s="5"/>
      <c r="AF941" s="8"/>
      <c r="AG941" s="4"/>
      <c r="AH941" s="5"/>
      <c r="AI941" s="5"/>
      <c r="AJ941" s="5"/>
      <c r="AK941" s="5"/>
      <c r="AL941" s="5"/>
      <c r="AM941" s="5"/>
      <c r="AN941" s="5"/>
    </row>
    <row r="942" spans="1:40" ht="12.75" x14ac:dyDescent="0.3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8"/>
      <c r="AE942" s="5"/>
      <c r="AF942" s="8"/>
      <c r="AG942" s="4"/>
      <c r="AH942" s="5"/>
      <c r="AI942" s="5"/>
      <c r="AJ942" s="5"/>
      <c r="AK942" s="5"/>
      <c r="AL942" s="5"/>
      <c r="AM942" s="5"/>
      <c r="AN942" s="5"/>
    </row>
    <row r="943" spans="1:40" ht="12.75" x14ac:dyDescent="0.3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8"/>
      <c r="AE943" s="5"/>
      <c r="AF943" s="8"/>
      <c r="AG943" s="4"/>
      <c r="AH943" s="5"/>
      <c r="AI943" s="5"/>
      <c r="AJ943" s="5"/>
      <c r="AK943" s="5"/>
      <c r="AL943" s="5"/>
      <c r="AM943" s="5"/>
      <c r="AN943" s="5"/>
    </row>
    <row r="944" spans="1:40" ht="12.75" x14ac:dyDescent="0.3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8"/>
      <c r="AE944" s="5"/>
      <c r="AF944" s="8"/>
      <c r="AG944" s="4"/>
      <c r="AH944" s="5"/>
      <c r="AI944" s="5"/>
      <c r="AJ944" s="5"/>
      <c r="AK944" s="5"/>
      <c r="AL944" s="5"/>
      <c r="AM944" s="5"/>
      <c r="AN944" s="5"/>
    </row>
    <row r="945" spans="1:40" ht="12.75" x14ac:dyDescent="0.3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8"/>
      <c r="AE945" s="5"/>
      <c r="AF945" s="8"/>
      <c r="AG945" s="4"/>
      <c r="AH945" s="5"/>
      <c r="AI945" s="5"/>
      <c r="AJ945" s="5"/>
      <c r="AK945" s="5"/>
      <c r="AL945" s="5"/>
      <c r="AM945" s="5"/>
      <c r="AN945" s="5"/>
    </row>
    <row r="946" spans="1:40" ht="12.75" x14ac:dyDescent="0.3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8"/>
      <c r="AE946" s="5"/>
      <c r="AF946" s="8"/>
      <c r="AG946" s="4"/>
      <c r="AH946" s="5"/>
      <c r="AI946" s="5"/>
      <c r="AJ946" s="5"/>
      <c r="AK946" s="5"/>
      <c r="AL946" s="5"/>
      <c r="AM946" s="5"/>
      <c r="AN946" s="5"/>
    </row>
    <row r="947" spans="1:40" ht="12.75" x14ac:dyDescent="0.3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8"/>
      <c r="AE947" s="5"/>
      <c r="AF947" s="8"/>
      <c r="AG947" s="4"/>
      <c r="AH947" s="5"/>
      <c r="AI947" s="5"/>
      <c r="AJ947" s="5"/>
      <c r="AK947" s="5"/>
      <c r="AL947" s="5"/>
      <c r="AM947" s="5"/>
      <c r="AN947" s="5"/>
    </row>
    <row r="948" spans="1:40" ht="12.75" x14ac:dyDescent="0.3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8"/>
      <c r="AE948" s="5"/>
      <c r="AF948" s="8"/>
      <c r="AG948" s="4"/>
      <c r="AH948" s="5"/>
      <c r="AI948" s="5"/>
      <c r="AJ948" s="5"/>
      <c r="AK948" s="5"/>
      <c r="AL948" s="5"/>
      <c r="AM948" s="5"/>
      <c r="AN948" s="5"/>
    </row>
    <row r="949" spans="1:40" ht="12.75" x14ac:dyDescent="0.3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8"/>
      <c r="AE949" s="5"/>
      <c r="AF949" s="8"/>
      <c r="AG949" s="4"/>
      <c r="AH949" s="5"/>
      <c r="AI949" s="5"/>
      <c r="AJ949" s="5"/>
      <c r="AK949" s="5"/>
      <c r="AL949" s="5"/>
      <c r="AM949" s="5"/>
      <c r="AN949" s="5"/>
    </row>
    <row r="950" spans="1:40" ht="12.75" x14ac:dyDescent="0.3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8"/>
      <c r="AE950" s="5"/>
      <c r="AF950" s="8"/>
      <c r="AG950" s="4"/>
      <c r="AH950" s="5"/>
      <c r="AI950" s="5"/>
      <c r="AJ950" s="5"/>
      <c r="AK950" s="5"/>
      <c r="AL950" s="5"/>
      <c r="AM950" s="5"/>
      <c r="AN950" s="5"/>
    </row>
    <row r="951" spans="1:40" ht="12.75" x14ac:dyDescent="0.3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8"/>
      <c r="AE951" s="5"/>
      <c r="AF951" s="8"/>
      <c r="AG951" s="4"/>
      <c r="AH951" s="5"/>
      <c r="AI951" s="5"/>
      <c r="AJ951" s="5"/>
      <c r="AK951" s="5"/>
      <c r="AL951" s="5"/>
      <c r="AM951" s="5"/>
      <c r="AN951" s="5"/>
    </row>
    <row r="952" spans="1:40" ht="12.75" x14ac:dyDescent="0.3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8"/>
      <c r="AE952" s="5"/>
      <c r="AF952" s="8"/>
      <c r="AG952" s="4"/>
      <c r="AH952" s="5"/>
      <c r="AI952" s="5"/>
      <c r="AJ952" s="5"/>
      <c r="AK952" s="5"/>
      <c r="AL952" s="5"/>
      <c r="AM952" s="5"/>
      <c r="AN952" s="5"/>
    </row>
    <row r="953" spans="1:40" ht="12.75" x14ac:dyDescent="0.3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8"/>
      <c r="AE953" s="5"/>
      <c r="AF953" s="8"/>
      <c r="AG953" s="4"/>
      <c r="AH953" s="5"/>
      <c r="AI953" s="5"/>
      <c r="AJ953" s="5"/>
      <c r="AK953" s="5"/>
      <c r="AL953" s="5"/>
      <c r="AM953" s="5"/>
      <c r="AN953" s="5"/>
    </row>
    <row r="954" spans="1:40" ht="12.75" x14ac:dyDescent="0.3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8"/>
      <c r="AE954" s="5"/>
      <c r="AF954" s="8"/>
      <c r="AG954" s="4"/>
      <c r="AH954" s="5"/>
      <c r="AI954" s="5"/>
      <c r="AJ954" s="5"/>
      <c r="AK954" s="5"/>
      <c r="AL954" s="5"/>
      <c r="AM954" s="5"/>
      <c r="AN954" s="5"/>
    </row>
    <row r="955" spans="1:40" ht="12.75" x14ac:dyDescent="0.3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8"/>
      <c r="AE955" s="5"/>
      <c r="AF955" s="8"/>
      <c r="AG955" s="4"/>
      <c r="AH955" s="5"/>
      <c r="AI955" s="5"/>
      <c r="AJ955" s="5"/>
      <c r="AK955" s="5"/>
      <c r="AL955" s="5"/>
      <c r="AM955" s="5"/>
      <c r="AN955" s="5"/>
    </row>
    <row r="956" spans="1:40" ht="12.75" x14ac:dyDescent="0.3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8"/>
      <c r="AE956" s="5"/>
      <c r="AF956" s="8"/>
      <c r="AG956" s="4"/>
      <c r="AH956" s="5"/>
      <c r="AI956" s="5"/>
      <c r="AJ956" s="5"/>
      <c r="AK956" s="5"/>
      <c r="AL956" s="5"/>
      <c r="AM956" s="5"/>
      <c r="AN956" s="5"/>
    </row>
    <row r="957" spans="1:40" ht="12.75" x14ac:dyDescent="0.3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8"/>
      <c r="AE957" s="5"/>
      <c r="AF957" s="8"/>
      <c r="AG957" s="4"/>
      <c r="AH957" s="5"/>
      <c r="AI957" s="5"/>
      <c r="AJ957" s="5"/>
      <c r="AK957" s="5"/>
      <c r="AL957" s="5"/>
      <c r="AM957" s="5"/>
      <c r="AN957" s="5"/>
    </row>
    <row r="958" spans="1:40" ht="12.75" x14ac:dyDescent="0.3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8"/>
      <c r="AE958" s="5"/>
      <c r="AF958" s="8"/>
      <c r="AG958" s="4"/>
      <c r="AH958" s="5"/>
      <c r="AI958" s="5"/>
      <c r="AJ958" s="5"/>
      <c r="AK958" s="5"/>
      <c r="AL958" s="5"/>
      <c r="AM958" s="5"/>
      <c r="AN958" s="5"/>
    </row>
    <row r="959" spans="1:40" ht="12.75" x14ac:dyDescent="0.3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8"/>
      <c r="AE959" s="5"/>
      <c r="AF959" s="8"/>
      <c r="AG959" s="4"/>
      <c r="AH959" s="5"/>
      <c r="AI959" s="5"/>
      <c r="AJ959" s="5"/>
      <c r="AK959" s="5"/>
      <c r="AL959" s="5"/>
      <c r="AM959" s="5"/>
      <c r="AN959" s="5"/>
    </row>
    <row r="960" spans="1:40" ht="12.75" x14ac:dyDescent="0.3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8"/>
      <c r="AE960" s="5"/>
      <c r="AF960" s="8"/>
      <c r="AG960" s="4"/>
      <c r="AH960" s="5"/>
      <c r="AI960" s="5"/>
      <c r="AJ960" s="5"/>
      <c r="AK960" s="5"/>
      <c r="AL960" s="5"/>
      <c r="AM960" s="5"/>
      <c r="AN960" s="5"/>
    </row>
    <row r="961" spans="1:40" ht="12.75" x14ac:dyDescent="0.3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8"/>
      <c r="AE961" s="5"/>
      <c r="AF961" s="8"/>
      <c r="AG961" s="4"/>
      <c r="AH961" s="5"/>
      <c r="AI961" s="5"/>
      <c r="AJ961" s="5"/>
      <c r="AK961" s="5"/>
      <c r="AL961" s="5"/>
      <c r="AM961" s="5"/>
      <c r="AN961" s="5"/>
    </row>
    <row r="962" spans="1:40" ht="12.75" x14ac:dyDescent="0.3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8"/>
      <c r="AE962" s="5"/>
      <c r="AF962" s="8"/>
      <c r="AG962" s="4"/>
      <c r="AH962" s="5"/>
      <c r="AI962" s="5"/>
      <c r="AJ962" s="5"/>
      <c r="AK962" s="5"/>
      <c r="AL962" s="5"/>
      <c r="AM962" s="5"/>
      <c r="AN962" s="5"/>
    </row>
    <row r="963" spans="1:40" ht="12.75" x14ac:dyDescent="0.3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8"/>
      <c r="AE963" s="5"/>
      <c r="AF963" s="8"/>
      <c r="AG963" s="4"/>
      <c r="AH963" s="5"/>
      <c r="AI963" s="5"/>
      <c r="AJ963" s="5"/>
      <c r="AK963" s="5"/>
      <c r="AL963" s="5"/>
      <c r="AM963" s="5"/>
      <c r="AN963" s="5"/>
    </row>
    <row r="964" spans="1:40" ht="12.75" x14ac:dyDescent="0.3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8"/>
      <c r="AE964" s="5"/>
      <c r="AF964" s="8"/>
      <c r="AG964" s="4"/>
      <c r="AH964" s="5"/>
      <c r="AI964" s="5"/>
      <c r="AJ964" s="5"/>
      <c r="AK964" s="5"/>
      <c r="AL964" s="5"/>
      <c r="AM964" s="5"/>
      <c r="AN964" s="5"/>
    </row>
    <row r="965" spans="1:40" ht="12.75" x14ac:dyDescent="0.3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8"/>
      <c r="AE965" s="5"/>
      <c r="AF965" s="8"/>
      <c r="AG965" s="4"/>
      <c r="AH965" s="5"/>
      <c r="AI965" s="5"/>
      <c r="AJ965" s="5"/>
      <c r="AK965" s="5"/>
      <c r="AL965" s="5"/>
      <c r="AM965" s="5"/>
      <c r="AN965" s="5"/>
    </row>
    <row r="966" spans="1:40" ht="12.75" x14ac:dyDescent="0.3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8"/>
      <c r="AE966" s="5"/>
      <c r="AF966" s="8"/>
      <c r="AG966" s="4"/>
      <c r="AH966" s="5"/>
      <c r="AI966" s="5"/>
      <c r="AJ966" s="5"/>
      <c r="AK966" s="5"/>
      <c r="AL966" s="5"/>
      <c r="AM966" s="5"/>
      <c r="AN966" s="5"/>
    </row>
    <row r="967" spans="1:40" ht="12.75" x14ac:dyDescent="0.3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8"/>
      <c r="AE967" s="5"/>
      <c r="AF967" s="8"/>
      <c r="AG967" s="4"/>
      <c r="AH967" s="5"/>
      <c r="AI967" s="5"/>
      <c r="AJ967" s="5"/>
      <c r="AK967" s="5"/>
      <c r="AL967" s="5"/>
      <c r="AM967" s="5"/>
      <c r="AN967" s="5"/>
    </row>
    <row r="968" spans="1:40" ht="12.75" x14ac:dyDescent="0.3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8"/>
      <c r="AE968" s="5"/>
      <c r="AF968" s="8"/>
      <c r="AG968" s="4"/>
      <c r="AH968" s="5"/>
      <c r="AI968" s="5"/>
      <c r="AJ968" s="5"/>
      <c r="AK968" s="5"/>
      <c r="AL968" s="5"/>
      <c r="AM968" s="5"/>
      <c r="AN968" s="5"/>
    </row>
    <row r="969" spans="1:40" ht="12.75" x14ac:dyDescent="0.3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8"/>
      <c r="AE969" s="5"/>
      <c r="AF969" s="8"/>
      <c r="AG969" s="4"/>
      <c r="AH969" s="5"/>
      <c r="AI969" s="5"/>
      <c r="AJ969" s="5"/>
      <c r="AK969" s="5"/>
      <c r="AL969" s="5"/>
      <c r="AM969" s="5"/>
      <c r="AN969" s="5"/>
    </row>
    <row r="970" spans="1:40" ht="12.75" x14ac:dyDescent="0.3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8"/>
      <c r="AE970" s="5"/>
      <c r="AF970" s="8"/>
      <c r="AG970" s="4"/>
      <c r="AH970" s="5"/>
      <c r="AI970" s="5"/>
      <c r="AJ970" s="5"/>
      <c r="AK970" s="5"/>
      <c r="AL970" s="5"/>
      <c r="AM970" s="5"/>
      <c r="AN970" s="5"/>
    </row>
    <row r="971" spans="1:40" ht="12.75" x14ac:dyDescent="0.3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8"/>
      <c r="AE971" s="5"/>
      <c r="AF971" s="8"/>
      <c r="AG971" s="4"/>
      <c r="AH971" s="5"/>
      <c r="AI971" s="5"/>
      <c r="AJ971" s="5"/>
      <c r="AK971" s="5"/>
      <c r="AL971" s="5"/>
      <c r="AM971" s="5"/>
      <c r="AN971" s="5"/>
    </row>
    <row r="972" spans="1:40" ht="12.75" x14ac:dyDescent="0.3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8"/>
      <c r="AE972" s="5"/>
      <c r="AF972" s="8"/>
      <c r="AG972" s="4"/>
      <c r="AH972" s="5"/>
      <c r="AI972" s="5"/>
      <c r="AJ972" s="5"/>
      <c r="AK972" s="5"/>
      <c r="AL972" s="5"/>
      <c r="AM972" s="5"/>
      <c r="AN972" s="5"/>
    </row>
    <row r="973" spans="1:40" ht="12.75" x14ac:dyDescent="0.3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8"/>
      <c r="AE973" s="5"/>
      <c r="AF973" s="8"/>
      <c r="AG973" s="4"/>
      <c r="AH973" s="5"/>
      <c r="AI973" s="5"/>
      <c r="AJ973" s="5"/>
      <c r="AK973" s="5"/>
      <c r="AL973" s="5"/>
      <c r="AM973" s="5"/>
      <c r="AN973" s="5"/>
    </row>
    <row r="974" spans="1:40" ht="12.75" x14ac:dyDescent="0.3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8"/>
      <c r="AE974" s="5"/>
      <c r="AF974" s="8"/>
      <c r="AG974" s="4"/>
      <c r="AH974" s="5"/>
      <c r="AI974" s="5"/>
      <c r="AJ974" s="5"/>
      <c r="AK974" s="5"/>
      <c r="AL974" s="5"/>
      <c r="AM974" s="5"/>
      <c r="AN974" s="5"/>
    </row>
    <row r="975" spans="1:40" ht="12.75" x14ac:dyDescent="0.3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8"/>
      <c r="AE975" s="5"/>
      <c r="AF975" s="8"/>
      <c r="AG975" s="4"/>
      <c r="AH975" s="5"/>
      <c r="AI975" s="5"/>
      <c r="AJ975" s="5"/>
      <c r="AK975" s="5"/>
      <c r="AL975" s="5"/>
      <c r="AM975" s="5"/>
      <c r="AN975" s="5"/>
    </row>
    <row r="976" spans="1:40" ht="12.75" x14ac:dyDescent="0.3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8"/>
      <c r="AE976" s="5"/>
      <c r="AF976" s="8"/>
      <c r="AG976" s="4"/>
      <c r="AH976" s="5"/>
      <c r="AI976" s="5"/>
      <c r="AJ976" s="5"/>
      <c r="AK976" s="5"/>
      <c r="AL976" s="5"/>
      <c r="AM976" s="5"/>
      <c r="AN976" s="5"/>
    </row>
    <row r="977" spans="1:40" ht="12.75" x14ac:dyDescent="0.3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8"/>
      <c r="AE977" s="5"/>
      <c r="AF977" s="8"/>
      <c r="AG977" s="4"/>
      <c r="AH977" s="5"/>
      <c r="AI977" s="5"/>
      <c r="AJ977" s="5"/>
      <c r="AK977" s="5"/>
      <c r="AL977" s="5"/>
      <c r="AM977" s="5"/>
      <c r="AN977" s="5"/>
    </row>
    <row r="978" spans="1:40" ht="12.75" x14ac:dyDescent="0.3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8"/>
      <c r="AE978" s="5"/>
      <c r="AF978" s="8"/>
      <c r="AG978" s="4"/>
      <c r="AH978" s="5"/>
      <c r="AI978" s="5"/>
      <c r="AJ978" s="5"/>
      <c r="AK978" s="5"/>
      <c r="AL978" s="5"/>
      <c r="AM978" s="5"/>
      <c r="AN978" s="5"/>
    </row>
    <row r="979" spans="1:40" ht="12.75" x14ac:dyDescent="0.3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8"/>
      <c r="AE979" s="5"/>
      <c r="AF979" s="8"/>
      <c r="AG979" s="4"/>
      <c r="AH979" s="5"/>
      <c r="AI979" s="5"/>
      <c r="AJ979" s="5"/>
      <c r="AK979" s="5"/>
      <c r="AL979" s="5"/>
      <c r="AM979" s="5"/>
      <c r="AN979" s="5"/>
    </row>
    <row r="980" spans="1:40" ht="12.75" x14ac:dyDescent="0.3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8"/>
      <c r="AE980" s="5"/>
      <c r="AF980" s="8"/>
      <c r="AG980" s="4"/>
      <c r="AH980" s="5"/>
      <c r="AI980" s="5"/>
      <c r="AJ980" s="5"/>
      <c r="AK980" s="5"/>
      <c r="AL980" s="5"/>
      <c r="AM980" s="5"/>
      <c r="AN980" s="5"/>
    </row>
    <row r="981" spans="1:40" ht="12.75" x14ac:dyDescent="0.3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8"/>
      <c r="AE981" s="5"/>
      <c r="AF981" s="8"/>
      <c r="AG981" s="4"/>
      <c r="AH981" s="5"/>
      <c r="AI981" s="5"/>
      <c r="AJ981" s="5"/>
      <c r="AK981" s="5"/>
      <c r="AL981" s="5"/>
      <c r="AM981" s="5"/>
      <c r="AN981" s="5"/>
    </row>
    <row r="982" spans="1:40" ht="12.75" x14ac:dyDescent="0.3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8"/>
      <c r="AE982" s="5"/>
      <c r="AF982" s="8"/>
      <c r="AG982" s="4"/>
      <c r="AH982" s="5"/>
      <c r="AI982" s="5"/>
      <c r="AJ982" s="5"/>
      <c r="AK982" s="5"/>
      <c r="AL982" s="5"/>
      <c r="AM982" s="5"/>
      <c r="AN982" s="5"/>
    </row>
    <row r="983" spans="1:40" ht="12.75" x14ac:dyDescent="0.3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8"/>
      <c r="AE983" s="5"/>
      <c r="AF983" s="8"/>
      <c r="AG983" s="4"/>
      <c r="AH983" s="5"/>
      <c r="AI983" s="5"/>
      <c r="AJ983" s="5"/>
      <c r="AK983" s="5"/>
      <c r="AL983" s="5"/>
      <c r="AM983" s="5"/>
      <c r="AN983" s="5"/>
    </row>
    <row r="984" spans="1:40" ht="12.75" x14ac:dyDescent="0.3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8"/>
      <c r="AE984" s="5"/>
      <c r="AF984" s="8"/>
      <c r="AG984" s="4"/>
      <c r="AH984" s="5"/>
      <c r="AI984" s="5"/>
      <c r="AJ984" s="5"/>
      <c r="AK984" s="5"/>
      <c r="AL984" s="5"/>
      <c r="AM984" s="5"/>
      <c r="AN984" s="5"/>
    </row>
    <row r="985" spans="1:40" ht="12.75" x14ac:dyDescent="0.3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8"/>
      <c r="AE985" s="5"/>
      <c r="AF985" s="8"/>
      <c r="AG985" s="4"/>
      <c r="AH985" s="5"/>
      <c r="AI985" s="5"/>
      <c r="AJ985" s="5"/>
      <c r="AK985" s="5"/>
      <c r="AL985" s="5"/>
      <c r="AM985" s="5"/>
      <c r="AN985" s="5"/>
    </row>
    <row r="986" spans="1:40" ht="12.75" x14ac:dyDescent="0.3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8"/>
      <c r="AE986" s="5"/>
      <c r="AF986" s="8"/>
      <c r="AG986" s="4"/>
      <c r="AH986" s="5"/>
      <c r="AI986" s="5"/>
      <c r="AJ986" s="5"/>
      <c r="AK986" s="5"/>
      <c r="AL986" s="5"/>
      <c r="AM986" s="5"/>
      <c r="AN986" s="5"/>
    </row>
    <row r="987" spans="1:40" ht="12.75" x14ac:dyDescent="0.3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8"/>
      <c r="AE987" s="5"/>
      <c r="AF987" s="8"/>
      <c r="AG987" s="4"/>
      <c r="AH987" s="5"/>
      <c r="AI987" s="5"/>
      <c r="AJ987" s="5"/>
      <c r="AK987" s="5"/>
      <c r="AL987" s="5"/>
      <c r="AM987" s="5"/>
      <c r="AN987" s="5"/>
    </row>
    <row r="988" spans="1:40" ht="12.75" x14ac:dyDescent="0.3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8"/>
      <c r="AE988" s="5"/>
      <c r="AF988" s="8"/>
      <c r="AG988" s="4"/>
      <c r="AH988" s="5"/>
      <c r="AI988" s="5"/>
      <c r="AJ988" s="5"/>
      <c r="AK988" s="5"/>
      <c r="AL988" s="5"/>
      <c r="AM988" s="5"/>
      <c r="AN988" s="5"/>
    </row>
    <row r="989" spans="1:40" ht="12.75" x14ac:dyDescent="0.3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8"/>
      <c r="AE989" s="5"/>
      <c r="AF989" s="8"/>
      <c r="AG989" s="4"/>
      <c r="AH989" s="5"/>
      <c r="AI989" s="5"/>
      <c r="AJ989" s="5"/>
      <c r="AK989" s="5"/>
      <c r="AL989" s="5"/>
      <c r="AM989" s="5"/>
      <c r="AN989" s="5"/>
    </row>
    <row r="990" spans="1:40" ht="12.75" x14ac:dyDescent="0.3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8"/>
      <c r="AE990" s="5"/>
      <c r="AF990" s="8"/>
      <c r="AG990" s="4"/>
      <c r="AH990" s="5"/>
      <c r="AI990" s="5"/>
      <c r="AJ990" s="5"/>
      <c r="AK990" s="5"/>
      <c r="AL990" s="5"/>
      <c r="AM990" s="5"/>
      <c r="AN990" s="5"/>
    </row>
    <row r="991" spans="1:40" ht="12.75" x14ac:dyDescent="0.3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8"/>
      <c r="AE991" s="5"/>
      <c r="AF991" s="8"/>
      <c r="AG991" s="4"/>
      <c r="AH991" s="5"/>
      <c r="AI991" s="5"/>
      <c r="AJ991" s="5"/>
      <c r="AK991" s="5"/>
      <c r="AL991" s="5"/>
      <c r="AM991" s="5"/>
      <c r="AN991" s="5"/>
    </row>
    <row r="992" spans="1:40" ht="12.75" x14ac:dyDescent="0.3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8"/>
      <c r="AE992" s="5"/>
      <c r="AF992" s="8"/>
      <c r="AG992" s="4"/>
      <c r="AH992" s="5"/>
      <c r="AI992" s="5"/>
      <c r="AJ992" s="5"/>
      <c r="AK992" s="5"/>
      <c r="AL992" s="5"/>
      <c r="AM992" s="5"/>
      <c r="AN992" s="5"/>
    </row>
    <row r="993" spans="1:40" ht="12.75" x14ac:dyDescent="0.3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8"/>
      <c r="AE993" s="5"/>
      <c r="AF993" s="8"/>
      <c r="AG993" s="4"/>
      <c r="AH993" s="5"/>
      <c r="AI993" s="5"/>
      <c r="AJ993" s="5"/>
      <c r="AK993" s="5"/>
      <c r="AL993" s="5"/>
      <c r="AM993" s="5"/>
      <c r="AN993" s="5"/>
    </row>
    <row r="994" spans="1:40" ht="12.75" x14ac:dyDescent="0.3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8"/>
      <c r="AE994" s="5"/>
      <c r="AF994" s="8"/>
      <c r="AG994" s="4"/>
      <c r="AH994" s="5"/>
      <c r="AI994" s="5"/>
      <c r="AJ994" s="5"/>
      <c r="AK994" s="5"/>
      <c r="AL994" s="5"/>
      <c r="AM994" s="5"/>
      <c r="AN994" s="5"/>
    </row>
    <row r="995" spans="1:40" ht="12.75" x14ac:dyDescent="0.3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8"/>
      <c r="AE995" s="5"/>
      <c r="AF995" s="8"/>
      <c r="AG995" s="4"/>
      <c r="AH995" s="5"/>
      <c r="AI995" s="5"/>
      <c r="AJ995" s="5"/>
      <c r="AK995" s="5"/>
      <c r="AL995" s="5"/>
      <c r="AM995" s="5"/>
      <c r="AN995" s="5"/>
    </row>
    <row r="996" spans="1:40" ht="12.75" x14ac:dyDescent="0.3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8"/>
      <c r="AE996" s="5"/>
      <c r="AF996" s="8"/>
      <c r="AG996" s="4"/>
      <c r="AH996" s="5"/>
      <c r="AI996" s="5"/>
      <c r="AJ996" s="5"/>
      <c r="AK996" s="5"/>
      <c r="AL996" s="5"/>
      <c r="AM996" s="5"/>
      <c r="AN996" s="5"/>
    </row>
    <row r="997" spans="1:40" ht="12.75" x14ac:dyDescent="0.3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8"/>
      <c r="AE997" s="5"/>
      <c r="AF997" s="8"/>
      <c r="AG997" s="4"/>
      <c r="AH997" s="5"/>
      <c r="AI997" s="5"/>
      <c r="AJ997" s="5"/>
      <c r="AK997" s="5"/>
      <c r="AL997" s="5"/>
      <c r="AM997" s="5"/>
      <c r="AN997" s="5"/>
    </row>
    <row r="998" spans="1:40" ht="12.75" x14ac:dyDescent="0.3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8"/>
      <c r="AE998" s="5"/>
      <c r="AF998" s="8"/>
      <c r="AG998" s="4"/>
      <c r="AH998" s="5"/>
      <c r="AI998" s="5"/>
      <c r="AJ998" s="5"/>
      <c r="AK998" s="5"/>
      <c r="AL998" s="5"/>
      <c r="AM998" s="5"/>
      <c r="AN998" s="5"/>
    </row>
    <row r="999" spans="1:40" ht="12.75" x14ac:dyDescent="0.3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8"/>
      <c r="AE999" s="5"/>
      <c r="AF999" s="8"/>
      <c r="AG999" s="4"/>
      <c r="AH999" s="5"/>
      <c r="AI999" s="5"/>
      <c r="AJ999" s="5"/>
      <c r="AK999" s="5"/>
      <c r="AL999" s="5"/>
      <c r="AM999" s="5"/>
      <c r="AN999" s="5"/>
    </row>
    <row r="1000" spans="1:40" ht="12.75" x14ac:dyDescent="0.3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8"/>
      <c r="AE1000" s="5"/>
      <c r="AF1000" s="8"/>
      <c r="AG1000" s="4"/>
      <c r="AH1000" s="5"/>
      <c r="AI1000" s="5"/>
      <c r="AJ1000" s="5"/>
      <c r="AK1000" s="5"/>
      <c r="AL1000" s="5"/>
      <c r="AM1000" s="5"/>
      <c r="AN1000" s="5"/>
    </row>
    <row r="1001" spans="1:40" ht="12.75" x14ac:dyDescent="0.35">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8"/>
      <c r="AE1001" s="5"/>
      <c r="AF1001" s="8"/>
      <c r="AG1001" s="4"/>
      <c r="AH1001" s="5"/>
      <c r="AI1001" s="5"/>
      <c r="AJ1001" s="5"/>
      <c r="AK1001" s="5"/>
      <c r="AL1001" s="5"/>
      <c r="AM1001" s="5"/>
      <c r="AN1001" s="5"/>
    </row>
    <row r="1002" spans="1:40" ht="12.75" x14ac:dyDescent="0.35">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8"/>
      <c r="AE1002" s="5"/>
      <c r="AF1002" s="8"/>
      <c r="AG1002" s="4"/>
      <c r="AH1002" s="5"/>
      <c r="AI1002" s="5"/>
      <c r="AJ1002" s="5"/>
      <c r="AK1002" s="5"/>
      <c r="AL1002" s="5"/>
      <c r="AM1002" s="5"/>
      <c r="AN1002" s="5"/>
    </row>
    <row r="1003" spans="1:40" ht="12.75" x14ac:dyDescent="0.35">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8"/>
      <c r="AE1003" s="5"/>
      <c r="AF1003" s="8"/>
      <c r="AG1003" s="4"/>
      <c r="AH1003" s="5"/>
      <c r="AI1003" s="5"/>
      <c r="AJ1003" s="5"/>
      <c r="AK1003" s="5"/>
      <c r="AL1003" s="5"/>
      <c r="AM1003" s="5"/>
      <c r="AN1003" s="5"/>
    </row>
    <row r="1004" spans="1:40" ht="12.75" x14ac:dyDescent="0.35">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8"/>
      <c r="AE1004" s="5"/>
      <c r="AF1004" s="8"/>
      <c r="AG1004" s="4"/>
      <c r="AH1004" s="5"/>
      <c r="AI1004" s="5"/>
      <c r="AJ1004" s="5"/>
      <c r="AK1004" s="5"/>
      <c r="AL1004" s="5"/>
      <c r="AM1004" s="5"/>
      <c r="AN1004" s="5"/>
    </row>
    <row r="1005" spans="1:40" ht="12.75" x14ac:dyDescent="0.3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8"/>
      <c r="AE1005" s="5"/>
      <c r="AF1005" s="8"/>
      <c r="AG1005" s="4"/>
      <c r="AH1005" s="5"/>
      <c r="AI1005" s="5"/>
      <c r="AJ1005" s="5"/>
      <c r="AK1005" s="5"/>
      <c r="AL1005" s="5"/>
      <c r="AM1005" s="5"/>
      <c r="AN1005" s="5"/>
    </row>
    <row r="1006" spans="1:40" ht="12.75" x14ac:dyDescent="0.35">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8"/>
      <c r="AE1006" s="5"/>
      <c r="AF1006" s="8"/>
      <c r="AG1006" s="4"/>
      <c r="AH1006" s="5"/>
      <c r="AI1006" s="5"/>
      <c r="AJ1006" s="5"/>
      <c r="AK1006" s="5"/>
      <c r="AL1006" s="5"/>
      <c r="AM1006" s="5"/>
      <c r="AN1006" s="5"/>
    </row>
    <row r="1007" spans="1:40" ht="12.75" x14ac:dyDescent="0.35">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8"/>
      <c r="AE1007" s="5"/>
      <c r="AF1007" s="8"/>
      <c r="AG1007" s="4"/>
      <c r="AH1007" s="5"/>
      <c r="AI1007" s="5"/>
      <c r="AJ1007" s="5"/>
      <c r="AK1007" s="5"/>
      <c r="AL1007" s="5"/>
      <c r="AM1007" s="5"/>
      <c r="AN1007" s="5"/>
    </row>
    <row r="1008" spans="1:40" ht="12.75" x14ac:dyDescent="0.35">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8"/>
      <c r="AE1008" s="5"/>
      <c r="AF1008" s="8"/>
      <c r="AG1008" s="4"/>
      <c r="AH1008" s="5"/>
      <c r="AI1008" s="5"/>
      <c r="AJ1008" s="5"/>
      <c r="AK1008" s="5"/>
      <c r="AL1008" s="5"/>
      <c r="AM1008" s="5"/>
      <c r="AN1008" s="5"/>
    </row>
    <row r="1009" spans="1:40" ht="12.75" x14ac:dyDescent="0.35">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8"/>
      <c r="AE1009" s="5"/>
      <c r="AF1009" s="8"/>
      <c r="AG1009" s="4"/>
      <c r="AH1009" s="5"/>
      <c r="AI1009" s="5"/>
      <c r="AJ1009" s="5"/>
      <c r="AK1009" s="5"/>
      <c r="AL1009" s="5"/>
      <c r="AM1009" s="5"/>
      <c r="AN1009" s="5"/>
    </row>
    <row r="1010" spans="1:40" ht="12.75" x14ac:dyDescent="0.35">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8"/>
      <c r="AE1010" s="5"/>
      <c r="AF1010" s="8"/>
      <c r="AG1010" s="4"/>
      <c r="AH1010" s="5"/>
      <c r="AI1010" s="5"/>
      <c r="AJ1010" s="5"/>
      <c r="AK1010" s="5"/>
      <c r="AL1010" s="5"/>
      <c r="AM1010" s="5"/>
      <c r="AN1010" s="5"/>
    </row>
    <row r="1011" spans="1:40" ht="12.75" x14ac:dyDescent="0.35">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c r="AD1011" s="8"/>
      <c r="AE1011" s="5"/>
      <c r="AF1011" s="8"/>
      <c r="AG1011" s="4"/>
      <c r="AH1011" s="5"/>
      <c r="AI1011" s="5"/>
      <c r="AJ1011" s="5"/>
      <c r="AK1011" s="5"/>
      <c r="AL1011" s="5"/>
      <c r="AM1011" s="5"/>
      <c r="AN1011" s="5"/>
    </row>
    <row r="1012" spans="1:40" ht="12.75" x14ac:dyDescent="0.35">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8"/>
      <c r="AE1012" s="5"/>
      <c r="AF1012" s="8"/>
      <c r="AG1012" s="4"/>
      <c r="AH1012" s="5"/>
      <c r="AI1012" s="5"/>
      <c r="AJ1012" s="5"/>
      <c r="AK1012" s="5"/>
      <c r="AL1012" s="5"/>
      <c r="AM1012" s="5"/>
      <c r="AN1012" s="5"/>
    </row>
    <row r="1013" spans="1:40" ht="12.75" x14ac:dyDescent="0.35">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c r="AD1013" s="8"/>
      <c r="AE1013" s="5"/>
      <c r="AF1013" s="8"/>
      <c r="AG1013" s="4"/>
      <c r="AH1013" s="5"/>
      <c r="AI1013" s="5"/>
      <c r="AJ1013" s="5"/>
      <c r="AK1013" s="5"/>
      <c r="AL1013" s="5"/>
      <c r="AM1013" s="5"/>
      <c r="AN1013" s="5"/>
    </row>
    <row r="1014" spans="1:40" ht="12.75" x14ac:dyDescent="0.35">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c r="AD1014" s="8"/>
      <c r="AE1014" s="5"/>
      <c r="AF1014" s="8"/>
      <c r="AG1014" s="4"/>
      <c r="AH1014" s="5"/>
      <c r="AI1014" s="5"/>
      <c r="AJ1014" s="5"/>
      <c r="AK1014" s="5"/>
      <c r="AL1014" s="5"/>
      <c r="AM1014" s="5"/>
      <c r="AN1014" s="5"/>
    </row>
    <row r="1015" spans="1:40" ht="12.75" x14ac:dyDescent="0.3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8"/>
      <c r="AE1015" s="5"/>
      <c r="AF1015" s="8"/>
      <c r="AG1015" s="4"/>
      <c r="AH1015" s="5"/>
      <c r="AI1015" s="5"/>
      <c r="AJ1015" s="5"/>
      <c r="AK1015" s="5"/>
      <c r="AL1015" s="5"/>
      <c r="AM1015" s="5"/>
      <c r="AN1015" s="5"/>
    </row>
    <row r="1016" spans="1:40" ht="12.75" x14ac:dyDescent="0.35">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8"/>
      <c r="AE1016" s="5"/>
      <c r="AF1016" s="8"/>
      <c r="AG1016" s="4"/>
      <c r="AH1016" s="5"/>
      <c r="AI1016" s="5"/>
      <c r="AJ1016" s="5"/>
      <c r="AK1016" s="5"/>
      <c r="AL1016" s="5"/>
      <c r="AM1016" s="5"/>
      <c r="AN1016" s="5"/>
    </row>
    <row r="1017" spans="1:40" ht="12.75" x14ac:dyDescent="0.35">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c r="AD1017" s="8"/>
      <c r="AE1017" s="5"/>
      <c r="AF1017" s="8"/>
      <c r="AG1017" s="4"/>
      <c r="AH1017" s="5"/>
      <c r="AI1017" s="5"/>
      <c r="AJ1017" s="5"/>
      <c r="AK1017" s="5"/>
      <c r="AL1017" s="5"/>
      <c r="AM1017" s="5"/>
      <c r="AN1017"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N955"/>
  <sheetViews>
    <sheetView tabSelected="1" topLeftCell="A24" zoomScale="85" zoomScaleNormal="85" workbookViewId="0">
      <pane xSplit="1" topLeftCell="AH1" activePane="topRight" state="frozen"/>
      <selection pane="topRight" activeCell="AJ1" sqref="AJ1:AJ1048576"/>
    </sheetView>
  </sheetViews>
  <sheetFormatPr defaultColWidth="12.59765625" defaultRowHeight="15.75" customHeight="1" x14ac:dyDescent="0.35"/>
  <cols>
    <col min="35" max="35" width="12.59765625" style="50"/>
  </cols>
  <sheetData>
    <row r="1" spans="1:40" ht="153.7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1" t="s">
        <v>21</v>
      </c>
      <c r="W1" s="1" t="s">
        <v>22</v>
      </c>
      <c r="X1" s="1" t="s">
        <v>23</v>
      </c>
      <c r="Y1" s="1" t="s">
        <v>24</v>
      </c>
      <c r="Z1" s="1" t="s">
        <v>25</v>
      </c>
      <c r="AA1" s="1" t="s">
        <v>26</v>
      </c>
      <c r="AB1" s="1" t="s">
        <v>27</v>
      </c>
      <c r="AC1" s="2" t="s">
        <v>28</v>
      </c>
      <c r="AD1" s="3" t="s">
        <v>29</v>
      </c>
      <c r="AE1" s="1" t="s">
        <v>30</v>
      </c>
      <c r="AF1" s="3" t="s">
        <v>31</v>
      </c>
      <c r="AG1" s="4" t="s">
        <v>32</v>
      </c>
      <c r="AH1" s="1" t="s">
        <v>33</v>
      </c>
      <c r="AI1" s="46" t="s">
        <v>34</v>
      </c>
      <c r="AJ1" s="1" t="s">
        <v>35</v>
      </c>
      <c r="AK1" s="1" t="s">
        <v>36</v>
      </c>
      <c r="AL1" s="1" t="s">
        <v>634</v>
      </c>
      <c r="AM1" s="1" t="s">
        <v>633</v>
      </c>
      <c r="AN1" s="1"/>
    </row>
    <row r="2" spans="1:40" ht="140.25" x14ac:dyDescent="0.35">
      <c r="A2" s="1">
        <v>12</v>
      </c>
      <c r="B2" s="1" t="s">
        <v>37</v>
      </c>
      <c r="C2" s="1"/>
      <c r="D2" s="1"/>
      <c r="E2" s="1"/>
      <c r="F2" s="1"/>
      <c r="G2" s="1"/>
      <c r="H2" s="1"/>
      <c r="I2" s="1"/>
      <c r="J2" s="1"/>
      <c r="K2" s="5"/>
      <c r="L2" s="1">
        <v>27</v>
      </c>
      <c r="M2" s="1" t="s">
        <v>38</v>
      </c>
      <c r="N2" s="1" t="s">
        <v>39</v>
      </c>
      <c r="O2" s="1">
        <f t="shared" ref="O2:O5" si="0">17/27*100</f>
        <v>62.962962962962962</v>
      </c>
      <c r="P2" s="1" t="s">
        <v>40</v>
      </c>
      <c r="Q2" s="1" t="s">
        <v>41</v>
      </c>
      <c r="R2" s="1" t="s">
        <v>42</v>
      </c>
      <c r="S2" s="1" t="s">
        <v>43</v>
      </c>
      <c r="T2" s="1"/>
      <c r="U2" s="1" t="s">
        <v>44</v>
      </c>
      <c r="V2" s="1" t="s">
        <v>45</v>
      </c>
      <c r="W2" s="1" t="s">
        <v>46</v>
      </c>
      <c r="X2" s="1" t="s">
        <v>47</v>
      </c>
      <c r="Y2" s="6">
        <f t="shared" ref="Y2:Y3" si="1">42.8</f>
        <v>42.8</v>
      </c>
      <c r="Z2" s="6">
        <v>2.58</v>
      </c>
      <c r="AA2" s="6">
        <v>47.9</v>
      </c>
      <c r="AB2" s="6">
        <v>2.2000000000000002</v>
      </c>
      <c r="AC2" s="6"/>
      <c r="AD2" s="7"/>
      <c r="AE2" s="6"/>
      <c r="AF2" s="7"/>
      <c r="AG2" s="4"/>
      <c r="AH2" s="1" t="s">
        <v>48</v>
      </c>
      <c r="AI2" s="46">
        <f t="shared" ref="AI2:AI5" si="2">(AA2-Y2)/AK2</f>
        <v>2.1271799993561347</v>
      </c>
      <c r="AJ2" s="5">
        <f t="shared" ref="AJ2:AJ9" si="3">AI2*(1-(3/(4*(L2-1)-1)))</f>
        <v>2.0652233003457616</v>
      </c>
      <c r="AK2" s="1">
        <f t="shared" ref="AK2:AK5" si="4">SQRT(((L2-1)*Z2^2+(L2-1)*AB2^2)/(2*L2-2))</f>
        <v>2.3975404063331238</v>
      </c>
      <c r="AM2" s="1">
        <f>(L2+L2)/(L2*L2)+(AJ2*AJ2)/(2*(L2+L2))</f>
        <v>0.11356617852121333</v>
      </c>
      <c r="AN2" s="1"/>
    </row>
    <row r="3" spans="1:40" ht="140.25" x14ac:dyDescent="0.35">
      <c r="A3" s="1">
        <v>12</v>
      </c>
      <c r="B3" s="1" t="s">
        <v>37</v>
      </c>
      <c r="C3" s="1"/>
      <c r="D3" s="1"/>
      <c r="E3" s="1"/>
      <c r="F3" s="1"/>
      <c r="G3" s="1"/>
      <c r="H3" s="1"/>
      <c r="I3" s="1"/>
      <c r="J3" s="1"/>
      <c r="K3" s="1"/>
      <c r="L3" s="1">
        <v>27</v>
      </c>
      <c r="M3" s="1" t="s">
        <v>38</v>
      </c>
      <c r="N3" s="1" t="s">
        <v>39</v>
      </c>
      <c r="O3" s="1">
        <f t="shared" si="0"/>
        <v>62.962962962962962</v>
      </c>
      <c r="P3" s="1" t="s">
        <v>40</v>
      </c>
      <c r="Q3" s="1" t="s">
        <v>41</v>
      </c>
      <c r="R3" s="1" t="s">
        <v>42</v>
      </c>
      <c r="S3" s="1" t="s">
        <v>43</v>
      </c>
      <c r="T3" s="1"/>
      <c r="U3" s="1" t="s">
        <v>49</v>
      </c>
      <c r="V3" s="1" t="s">
        <v>45</v>
      </c>
      <c r="W3" s="1" t="s">
        <v>46</v>
      </c>
      <c r="X3" s="1" t="s">
        <v>47</v>
      </c>
      <c r="Y3" s="6">
        <f t="shared" si="1"/>
        <v>42.8</v>
      </c>
      <c r="Z3" s="6">
        <v>2.58</v>
      </c>
      <c r="AA3" s="6">
        <v>48</v>
      </c>
      <c r="AB3" s="6">
        <v>2.15</v>
      </c>
      <c r="AC3" s="6"/>
      <c r="AD3" s="7"/>
      <c r="AE3" s="6"/>
      <c r="AF3" s="3"/>
      <c r="AG3" s="4"/>
      <c r="AH3" s="1" t="s">
        <v>48</v>
      </c>
      <c r="AI3" s="46">
        <f t="shared" si="2"/>
        <v>2.1897017647492865</v>
      </c>
      <c r="AJ3" s="5">
        <f t="shared" si="3"/>
        <v>2.125924043445909</v>
      </c>
      <c r="AK3" s="1">
        <f t="shared" si="4"/>
        <v>2.3747526186952612</v>
      </c>
      <c r="AL3" s="1"/>
      <c r="AM3" s="1">
        <f t="shared" ref="AM3:AM66" si="5">(L3+L3)/(L3*L3)+(AJ3*AJ3)/(2*(L3+L3))</f>
        <v>0.11592178739353151</v>
      </c>
      <c r="AN3" s="1"/>
    </row>
    <row r="4" spans="1:40" ht="140.25" x14ac:dyDescent="0.35">
      <c r="A4" s="1">
        <v>12</v>
      </c>
      <c r="B4" s="1" t="s">
        <v>37</v>
      </c>
      <c r="C4" s="1"/>
      <c r="D4" s="1"/>
      <c r="E4" s="1"/>
      <c r="F4" s="1"/>
      <c r="G4" s="1"/>
      <c r="H4" s="1"/>
      <c r="I4" s="1"/>
      <c r="J4" s="1"/>
      <c r="K4" s="1"/>
      <c r="L4" s="1">
        <v>27</v>
      </c>
      <c r="M4" s="1" t="s">
        <v>38</v>
      </c>
      <c r="N4" s="1" t="s">
        <v>39</v>
      </c>
      <c r="O4" s="1">
        <f t="shared" si="0"/>
        <v>62.962962962962962</v>
      </c>
      <c r="P4" s="1" t="s">
        <v>40</v>
      </c>
      <c r="Q4" s="1" t="s">
        <v>41</v>
      </c>
      <c r="R4" s="1" t="s">
        <v>42</v>
      </c>
      <c r="S4" s="1" t="s">
        <v>43</v>
      </c>
      <c r="T4" s="1"/>
      <c r="U4" s="1" t="s">
        <v>50</v>
      </c>
      <c r="V4" s="1" t="s">
        <v>45</v>
      </c>
      <c r="W4" s="1" t="s">
        <v>46</v>
      </c>
      <c r="X4" s="1" t="s">
        <v>51</v>
      </c>
      <c r="Y4" s="6">
        <v>43.5</v>
      </c>
      <c r="Z4" s="6">
        <v>3.19</v>
      </c>
      <c r="AA4" s="6">
        <v>48.5</v>
      </c>
      <c r="AB4" s="6">
        <v>3.13</v>
      </c>
      <c r="AC4" s="6"/>
      <c r="AD4" s="7"/>
      <c r="AE4" s="6"/>
      <c r="AF4" s="7"/>
      <c r="AG4" s="4"/>
      <c r="AH4" s="1" t="s">
        <v>48</v>
      </c>
      <c r="AI4" s="46">
        <f t="shared" si="2"/>
        <v>1.5822071806211893</v>
      </c>
      <c r="AJ4" s="5">
        <f t="shared" si="3"/>
        <v>1.5361234763312517</v>
      </c>
      <c r="AK4" s="1">
        <f t="shared" si="4"/>
        <v>3.1601424018547011</v>
      </c>
      <c r="AL4" s="1"/>
      <c r="AM4" s="1">
        <f t="shared" si="5"/>
        <v>9.5922919764222306E-2</v>
      </c>
      <c r="AN4" s="1"/>
    </row>
    <row r="5" spans="1:40" ht="140.25" x14ac:dyDescent="0.35">
      <c r="A5" s="1">
        <v>12</v>
      </c>
      <c r="B5" s="1" t="s">
        <v>37</v>
      </c>
      <c r="C5" s="1"/>
      <c r="D5" s="1"/>
      <c r="E5" s="1"/>
      <c r="F5" s="1"/>
      <c r="G5" s="1"/>
      <c r="H5" s="1"/>
      <c r="I5" s="1"/>
      <c r="J5" s="1"/>
      <c r="K5" s="1"/>
      <c r="L5" s="1">
        <v>27</v>
      </c>
      <c r="M5" s="1" t="s">
        <v>38</v>
      </c>
      <c r="N5" s="1" t="s">
        <v>39</v>
      </c>
      <c r="O5" s="1">
        <f t="shared" si="0"/>
        <v>62.962962962962962</v>
      </c>
      <c r="P5" s="1" t="s">
        <v>40</v>
      </c>
      <c r="Q5" s="1" t="s">
        <v>41</v>
      </c>
      <c r="R5" s="1" t="s">
        <v>42</v>
      </c>
      <c r="S5" s="1" t="s">
        <v>43</v>
      </c>
      <c r="T5" s="1"/>
      <c r="U5" s="1" t="s">
        <v>52</v>
      </c>
      <c r="V5" s="1" t="s">
        <v>45</v>
      </c>
      <c r="W5" s="1" t="s">
        <v>46</v>
      </c>
      <c r="X5" s="1" t="s">
        <v>51</v>
      </c>
      <c r="Y5" s="6">
        <v>43.5</v>
      </c>
      <c r="Z5" s="6">
        <v>3.19</v>
      </c>
      <c r="AA5" s="6">
        <v>47.2</v>
      </c>
      <c r="AB5" s="6">
        <v>2.97</v>
      </c>
      <c r="AC5" s="6"/>
      <c r="AD5" s="7"/>
      <c r="AE5" s="6"/>
      <c r="AF5" s="7"/>
      <c r="AG5" s="4"/>
      <c r="AH5" s="1" t="s">
        <v>48</v>
      </c>
      <c r="AI5" s="46">
        <f t="shared" si="2"/>
        <v>1.2005332990538753</v>
      </c>
      <c r="AJ5" s="5">
        <f t="shared" si="3"/>
        <v>1.165566309761044</v>
      </c>
      <c r="AK5" s="1">
        <f t="shared" si="4"/>
        <v>3.0819636597468181</v>
      </c>
      <c r="AL5" s="1"/>
      <c r="AM5" s="1">
        <f t="shared" si="5"/>
        <v>8.6653192800462756E-2</v>
      </c>
      <c r="AN5" s="1"/>
    </row>
    <row r="6" spans="1:40" ht="89.25" x14ac:dyDescent="0.35">
      <c r="A6" s="5">
        <v>1</v>
      </c>
      <c r="B6" s="5" t="s">
        <v>53</v>
      </c>
      <c r="C6" s="5"/>
      <c r="D6" s="5"/>
      <c r="E6" s="5"/>
      <c r="F6" s="5"/>
      <c r="G6" s="5"/>
      <c r="H6" s="5"/>
      <c r="I6" s="5"/>
      <c r="J6" s="5"/>
      <c r="K6" s="5"/>
      <c r="L6" s="5">
        <v>45</v>
      </c>
      <c r="M6" s="5"/>
      <c r="N6" s="5"/>
      <c r="O6" s="5">
        <v>85</v>
      </c>
      <c r="P6" s="1" t="s">
        <v>40</v>
      </c>
      <c r="Q6" s="1" t="s">
        <v>41</v>
      </c>
      <c r="R6" s="5" t="s">
        <v>54</v>
      </c>
      <c r="S6" s="5" t="s">
        <v>55</v>
      </c>
      <c r="T6" s="5"/>
      <c r="U6" s="5" t="s">
        <v>56</v>
      </c>
      <c r="V6" s="5" t="s">
        <v>57</v>
      </c>
      <c r="W6" s="5" t="s">
        <v>58</v>
      </c>
      <c r="X6" s="5" t="s">
        <v>59</v>
      </c>
      <c r="Y6" s="5"/>
      <c r="Z6" s="5"/>
      <c r="AA6" s="5"/>
      <c r="AB6" s="5"/>
      <c r="AC6" s="5" t="s">
        <v>60</v>
      </c>
      <c r="AD6" s="8">
        <v>4.41</v>
      </c>
      <c r="AE6" s="5">
        <v>44</v>
      </c>
      <c r="AF6" s="8">
        <v>0</v>
      </c>
      <c r="AG6" s="4"/>
      <c r="AH6" s="1" t="s">
        <v>61</v>
      </c>
      <c r="AI6" s="47">
        <f t="shared" ref="AI6:AI9" si="6">AD6/SQRT(L6)</f>
        <v>0.65740398538493816</v>
      </c>
      <c r="AJ6" s="5">
        <f t="shared" si="3"/>
        <v>0.64613420277833922</v>
      </c>
      <c r="AK6" s="1"/>
      <c r="AL6" s="5"/>
      <c r="AM6" s="1">
        <f t="shared" si="5"/>
        <v>4.6763830044444447E-2</v>
      </c>
      <c r="AN6" s="5"/>
    </row>
    <row r="7" spans="1:40" ht="89.25" x14ac:dyDescent="0.35">
      <c r="A7" s="5">
        <v>1</v>
      </c>
      <c r="B7" s="5" t="s">
        <v>53</v>
      </c>
      <c r="C7" s="5"/>
      <c r="D7" s="5"/>
      <c r="E7" s="5"/>
      <c r="F7" s="5"/>
      <c r="G7" s="5"/>
      <c r="H7" s="5"/>
      <c r="I7" s="5"/>
      <c r="J7" s="5"/>
      <c r="K7" s="5"/>
      <c r="L7" s="5">
        <v>20</v>
      </c>
      <c r="M7" s="5"/>
      <c r="N7" s="5"/>
      <c r="O7" s="5">
        <v>85</v>
      </c>
      <c r="P7" s="1" t="s">
        <v>40</v>
      </c>
      <c r="Q7" s="1" t="s">
        <v>41</v>
      </c>
      <c r="R7" s="5" t="s">
        <v>54</v>
      </c>
      <c r="S7" s="5" t="s">
        <v>55</v>
      </c>
      <c r="T7" s="5"/>
      <c r="U7" s="5" t="s">
        <v>62</v>
      </c>
      <c r="V7" s="5" t="s">
        <v>57</v>
      </c>
      <c r="W7" s="5" t="s">
        <v>58</v>
      </c>
      <c r="X7" s="5" t="s">
        <v>59</v>
      </c>
      <c r="Y7" s="5"/>
      <c r="Z7" s="5"/>
      <c r="AA7" s="5"/>
      <c r="AB7" s="5"/>
      <c r="AC7" s="5" t="s">
        <v>60</v>
      </c>
      <c r="AD7" s="8">
        <v>0.15</v>
      </c>
      <c r="AE7" s="5">
        <v>19</v>
      </c>
      <c r="AF7" s="8">
        <v>0.88</v>
      </c>
      <c r="AG7" s="4"/>
      <c r="AH7" s="1" t="s">
        <v>61</v>
      </c>
      <c r="AI7" s="47">
        <f t="shared" si="6"/>
        <v>3.354101966249684E-2</v>
      </c>
      <c r="AJ7" s="5">
        <f t="shared" si="3"/>
        <v>3.2199378875996963E-2</v>
      </c>
      <c r="AK7" s="1"/>
      <c r="AL7" s="5"/>
      <c r="AM7" s="1">
        <f t="shared" si="5"/>
        <v>0.10001296000000001</v>
      </c>
      <c r="AN7" s="5"/>
    </row>
    <row r="8" spans="1:40" ht="89.25" x14ac:dyDescent="0.35">
      <c r="A8" s="5">
        <v>1</v>
      </c>
      <c r="B8" s="5" t="s">
        <v>53</v>
      </c>
      <c r="C8" s="5"/>
      <c r="D8" s="5"/>
      <c r="E8" s="5"/>
      <c r="F8" s="5"/>
      <c r="G8" s="5"/>
      <c r="H8" s="5"/>
      <c r="I8" s="5"/>
      <c r="J8" s="5"/>
      <c r="K8" s="5"/>
      <c r="L8" s="5">
        <v>20</v>
      </c>
      <c r="M8" s="5"/>
      <c r="N8" s="5"/>
      <c r="O8" s="5">
        <v>85</v>
      </c>
      <c r="P8" s="1" t="s">
        <v>40</v>
      </c>
      <c r="Q8" s="1" t="s">
        <v>41</v>
      </c>
      <c r="R8" s="5" t="s">
        <v>54</v>
      </c>
      <c r="S8" s="5" t="s">
        <v>55</v>
      </c>
      <c r="T8" s="5"/>
      <c r="U8" s="5" t="s">
        <v>63</v>
      </c>
      <c r="V8" s="5" t="s">
        <v>57</v>
      </c>
      <c r="W8" s="5" t="s">
        <v>58</v>
      </c>
      <c r="X8" s="5" t="s">
        <v>59</v>
      </c>
      <c r="Y8" s="5"/>
      <c r="Z8" s="5"/>
      <c r="AA8" s="5"/>
      <c r="AB8" s="5"/>
      <c r="AC8" s="5" t="s">
        <v>60</v>
      </c>
      <c r="AD8" s="8">
        <v>0.28000000000000003</v>
      </c>
      <c r="AE8" s="5">
        <v>19</v>
      </c>
      <c r="AF8" s="8">
        <v>0.78</v>
      </c>
      <c r="AG8" s="4"/>
      <c r="AH8" s="1" t="s">
        <v>61</v>
      </c>
      <c r="AI8" s="47">
        <f t="shared" si="6"/>
        <v>6.2609903369994113E-2</v>
      </c>
      <c r="AJ8" s="5">
        <f t="shared" si="3"/>
        <v>6.0105507235194346E-2</v>
      </c>
      <c r="AK8" s="1"/>
      <c r="AL8" s="5"/>
      <c r="AM8" s="1">
        <f t="shared" si="5"/>
        <v>0.1000451584</v>
      </c>
      <c r="AN8" s="5"/>
    </row>
    <row r="9" spans="1:40" ht="76.5" x14ac:dyDescent="0.35">
      <c r="A9" s="5">
        <v>1</v>
      </c>
      <c r="B9" s="5" t="s">
        <v>53</v>
      </c>
      <c r="C9" s="5"/>
      <c r="D9" s="5"/>
      <c r="E9" s="5"/>
      <c r="F9" s="5"/>
      <c r="G9" s="5"/>
      <c r="H9" s="5"/>
      <c r="I9" s="5"/>
      <c r="J9" s="5"/>
      <c r="K9" s="5"/>
      <c r="L9" s="5">
        <v>25</v>
      </c>
      <c r="M9" s="5"/>
      <c r="N9" s="5"/>
      <c r="O9" s="5">
        <v>84</v>
      </c>
      <c r="P9" s="1" t="s">
        <v>40</v>
      </c>
      <c r="Q9" s="1" t="s">
        <v>41</v>
      </c>
      <c r="R9" s="5" t="s">
        <v>54</v>
      </c>
      <c r="S9" s="5" t="s">
        <v>55</v>
      </c>
      <c r="T9" s="5"/>
      <c r="U9" s="5" t="s">
        <v>64</v>
      </c>
      <c r="V9" s="5" t="s">
        <v>57</v>
      </c>
      <c r="W9" s="5" t="s">
        <v>58</v>
      </c>
      <c r="X9" s="5" t="s">
        <v>59</v>
      </c>
      <c r="Y9" s="5"/>
      <c r="Z9" s="5"/>
      <c r="AA9" s="5"/>
      <c r="AB9" s="5"/>
      <c r="AC9" s="5" t="s">
        <v>60</v>
      </c>
      <c r="AD9" s="8">
        <v>0.53</v>
      </c>
      <c r="AE9" s="5">
        <v>24</v>
      </c>
      <c r="AF9" s="8">
        <v>0.6</v>
      </c>
      <c r="AG9" s="4"/>
      <c r="AH9" s="1" t="s">
        <v>61</v>
      </c>
      <c r="AI9" s="47">
        <f t="shared" si="6"/>
        <v>0.10600000000000001</v>
      </c>
      <c r="AJ9" s="5">
        <f t="shared" si="3"/>
        <v>0.10265263157894738</v>
      </c>
      <c r="AK9" s="1"/>
      <c r="AL9" s="5"/>
      <c r="AM9" s="1">
        <f t="shared" si="5"/>
        <v>8.0105375627700828E-2</v>
      </c>
      <c r="AN9" s="5"/>
    </row>
    <row r="10" spans="1:40" ht="409.5" x14ac:dyDescent="0.35">
      <c r="A10" s="5">
        <v>4</v>
      </c>
      <c r="B10" s="5" t="s">
        <v>128</v>
      </c>
      <c r="C10" s="5"/>
      <c r="D10" s="5"/>
      <c r="E10" s="5"/>
      <c r="F10" s="5"/>
      <c r="G10" s="5"/>
      <c r="H10" s="5"/>
      <c r="I10" s="5"/>
      <c r="J10" s="5"/>
      <c r="K10" s="5"/>
      <c r="L10" s="5">
        <v>23</v>
      </c>
      <c r="M10" s="5" t="s">
        <v>129</v>
      </c>
      <c r="N10" s="5"/>
      <c r="O10" s="5">
        <v>61</v>
      </c>
      <c r="P10" s="5" t="s">
        <v>40</v>
      </c>
      <c r="Q10" s="5" t="s">
        <v>41</v>
      </c>
      <c r="R10" s="5" t="s">
        <v>130</v>
      </c>
      <c r="S10" s="5" t="s">
        <v>131</v>
      </c>
      <c r="T10" s="5"/>
      <c r="U10" s="5" t="s">
        <v>132</v>
      </c>
      <c r="V10" s="5" t="s">
        <v>133</v>
      </c>
      <c r="W10" s="5" t="s">
        <v>134</v>
      </c>
      <c r="X10" s="5" t="s">
        <v>59</v>
      </c>
      <c r="Y10" s="5">
        <v>4.0199999999999996</v>
      </c>
      <c r="Z10" s="5">
        <v>1.05</v>
      </c>
      <c r="AA10" s="5">
        <v>3.62</v>
      </c>
      <c r="AB10" s="5">
        <v>0.79</v>
      </c>
      <c r="AC10" s="5" t="s">
        <v>80</v>
      </c>
      <c r="AD10" s="8" t="s">
        <v>38</v>
      </c>
      <c r="AE10" s="5" t="s">
        <v>38</v>
      </c>
      <c r="AF10" s="8">
        <v>0.04</v>
      </c>
      <c r="AG10" s="4" t="s">
        <v>135</v>
      </c>
      <c r="AH10" s="5" t="s">
        <v>136</v>
      </c>
      <c r="AI10" s="46">
        <f t="shared" ref="AI10" si="7">(AA10-Y10)/AK10</f>
        <v>-0.43050591300568886</v>
      </c>
      <c r="AJ10" s="5">
        <f t="shared" ref="AJ10" si="8">AI10*(1-(3/(4*(L10-1)-1)))</f>
        <v>-0.41566088152273406</v>
      </c>
      <c r="AK10" s="1">
        <f t="shared" ref="AK10" si="9">SQRT(((L10-1)*Z10^2+(L10-1)*AB10^2)/(2*L10-2))</f>
        <v>0.92913938674452945</v>
      </c>
      <c r="AL10" s="5"/>
      <c r="AM10" s="1">
        <f t="shared" si="5"/>
        <v>8.8834499656828866E-2</v>
      </c>
      <c r="AN10" s="5"/>
    </row>
    <row r="11" spans="1:40" ht="229.5" x14ac:dyDescent="0.35">
      <c r="A11" s="5">
        <v>4</v>
      </c>
      <c r="B11" s="5" t="s">
        <v>128</v>
      </c>
      <c r="C11" s="5"/>
      <c r="D11" s="5"/>
      <c r="E11" s="5"/>
      <c r="F11" s="5"/>
      <c r="G11" s="5"/>
      <c r="H11" s="5"/>
      <c r="I11" s="5"/>
      <c r="J11" s="5"/>
      <c r="K11" s="5"/>
      <c r="L11" s="5">
        <v>23</v>
      </c>
      <c r="M11" s="5" t="s">
        <v>129</v>
      </c>
      <c r="N11" s="5"/>
      <c r="O11" s="5">
        <v>61</v>
      </c>
      <c r="P11" s="5" t="s">
        <v>40</v>
      </c>
      <c r="Q11" s="5" t="s">
        <v>41</v>
      </c>
      <c r="R11" s="5" t="s">
        <v>130</v>
      </c>
      <c r="S11" s="5" t="s">
        <v>131</v>
      </c>
      <c r="T11" s="5"/>
      <c r="U11" s="5" t="s">
        <v>137</v>
      </c>
      <c r="V11" s="5" t="s">
        <v>133</v>
      </c>
      <c r="W11" s="5" t="s">
        <v>134</v>
      </c>
      <c r="X11" s="5" t="s">
        <v>59</v>
      </c>
      <c r="Y11" s="5">
        <v>0.28000000000000003</v>
      </c>
      <c r="Z11" s="5">
        <v>0.7</v>
      </c>
      <c r="AA11" s="5">
        <v>-0.22</v>
      </c>
      <c r="AB11" s="5">
        <v>0.51</v>
      </c>
      <c r="AC11" s="5" t="s">
        <v>80</v>
      </c>
      <c r="AD11" s="8" t="s">
        <v>38</v>
      </c>
      <c r="AE11" s="5" t="s">
        <v>38</v>
      </c>
      <c r="AF11" s="8">
        <v>2.1999999999999999E-2</v>
      </c>
      <c r="AG11" s="4"/>
      <c r="AH11" s="5" t="s">
        <v>136</v>
      </c>
      <c r="AI11" s="46">
        <f t="shared" ref="AI11:AI13" si="10">(AA11-Y11)/AK11</f>
        <v>-0.81644215326503666</v>
      </c>
      <c r="AJ11" s="5">
        <f t="shared" ref="AJ11:AJ14" si="11">AI11*(1-(3/(4*(L11-1)-1)))</f>
        <v>-0.78828897556624233</v>
      </c>
      <c r="AK11" s="1">
        <f t="shared" ref="AK11:AK13" si="12">SQRT(((L11-1)*Z11^2+(L11-1)*AB11^2)/(2*L11-2))</f>
        <v>0.61241325916410394</v>
      </c>
      <c r="AL11" s="5"/>
      <c r="AM11" s="1">
        <f t="shared" si="5"/>
        <v>9.3710864228252991E-2</v>
      </c>
      <c r="AN11" s="5"/>
    </row>
    <row r="12" spans="1:40" ht="409.5" x14ac:dyDescent="0.35">
      <c r="A12" s="5">
        <v>5</v>
      </c>
      <c r="B12" s="5" t="s">
        <v>138</v>
      </c>
      <c r="C12" s="5"/>
      <c r="D12" s="5"/>
      <c r="E12" s="5"/>
      <c r="F12" s="5"/>
      <c r="G12" s="5"/>
      <c r="H12" s="5"/>
      <c r="I12" s="5"/>
      <c r="J12" s="5"/>
      <c r="K12" s="5"/>
      <c r="L12" s="5">
        <v>19</v>
      </c>
      <c r="M12" s="5" t="s">
        <v>38</v>
      </c>
      <c r="N12" s="5" t="s">
        <v>139</v>
      </c>
      <c r="O12" s="5">
        <v>53</v>
      </c>
      <c r="P12" s="5" t="s">
        <v>40</v>
      </c>
      <c r="Q12" s="5" t="s">
        <v>41</v>
      </c>
      <c r="R12" s="5" t="s">
        <v>140</v>
      </c>
      <c r="S12" s="5" t="s">
        <v>141</v>
      </c>
      <c r="T12" s="5"/>
      <c r="U12" s="5" t="s">
        <v>142</v>
      </c>
      <c r="V12" s="5" t="s">
        <v>45</v>
      </c>
      <c r="W12" s="5" t="s">
        <v>143</v>
      </c>
      <c r="X12" s="5" t="s">
        <v>144</v>
      </c>
      <c r="Y12" s="5">
        <v>4.0999999999999996</v>
      </c>
      <c r="Z12" s="5">
        <v>0.6</v>
      </c>
      <c r="AA12" s="5">
        <v>3.5</v>
      </c>
      <c r="AB12" s="5">
        <v>0.6</v>
      </c>
      <c r="AC12" s="5" t="s">
        <v>145</v>
      </c>
      <c r="AD12" s="8">
        <v>1.2150000000000001</v>
      </c>
      <c r="AE12" s="5" t="s">
        <v>146</v>
      </c>
      <c r="AF12" s="8">
        <v>0.315</v>
      </c>
      <c r="AG12" s="4" t="s">
        <v>147</v>
      </c>
      <c r="AH12" s="5" t="s">
        <v>148</v>
      </c>
      <c r="AI12" s="46">
        <f t="shared" si="10"/>
        <v>-0.99999999999999944</v>
      </c>
      <c r="AJ12" s="5">
        <f t="shared" si="11"/>
        <v>-0.95774647887323894</v>
      </c>
      <c r="AK12" s="1">
        <f t="shared" si="12"/>
        <v>0.6</v>
      </c>
      <c r="AL12" s="5"/>
      <c r="AM12" s="1">
        <f t="shared" si="5"/>
        <v>0.11733260944465904</v>
      </c>
      <c r="AN12" s="5"/>
    </row>
    <row r="13" spans="1:40" ht="216.75" x14ac:dyDescent="0.35">
      <c r="A13" s="5">
        <v>5</v>
      </c>
      <c r="B13" s="5" t="s">
        <v>138</v>
      </c>
      <c r="C13" s="5"/>
      <c r="D13" s="5"/>
      <c r="E13" s="5"/>
      <c r="F13" s="5"/>
      <c r="G13" s="5"/>
      <c r="H13" s="5"/>
      <c r="I13" s="5"/>
      <c r="J13" s="5"/>
      <c r="K13" s="5"/>
      <c r="L13" s="5">
        <v>12</v>
      </c>
      <c r="M13" s="5" t="s">
        <v>38</v>
      </c>
      <c r="N13" s="5" t="s">
        <v>139</v>
      </c>
      <c r="O13" s="5">
        <v>42</v>
      </c>
      <c r="P13" s="5" t="s">
        <v>40</v>
      </c>
      <c r="Q13" s="5" t="s">
        <v>149</v>
      </c>
      <c r="R13" s="5" t="s">
        <v>140</v>
      </c>
      <c r="S13" s="5" t="s">
        <v>141</v>
      </c>
      <c r="T13" s="5"/>
      <c r="U13" s="5" t="s">
        <v>150</v>
      </c>
      <c r="V13" s="5" t="s">
        <v>45</v>
      </c>
      <c r="W13" s="5" t="s">
        <v>143</v>
      </c>
      <c r="X13" s="5" t="s">
        <v>144</v>
      </c>
      <c r="Y13" s="5">
        <v>2.8</v>
      </c>
      <c r="Z13" s="5">
        <v>0.6</v>
      </c>
      <c r="AA13" s="5">
        <v>2.5</v>
      </c>
      <c r="AB13" s="5">
        <v>0.6</v>
      </c>
      <c r="AC13" s="5" t="s">
        <v>145</v>
      </c>
      <c r="AD13" s="8">
        <v>1.2150000000000001</v>
      </c>
      <c r="AE13" s="5" t="s">
        <v>146</v>
      </c>
      <c r="AF13" s="8">
        <v>0.315</v>
      </c>
      <c r="AG13" s="4"/>
      <c r="AH13" s="5" t="s">
        <v>148</v>
      </c>
      <c r="AI13" s="46">
        <f t="shared" si="10"/>
        <v>-0.49999999999999972</v>
      </c>
      <c r="AJ13" s="5">
        <f t="shared" si="11"/>
        <v>-0.46511627906976716</v>
      </c>
      <c r="AK13" s="1">
        <f t="shared" si="12"/>
        <v>0.6</v>
      </c>
      <c r="AL13" s="5"/>
      <c r="AM13" s="1">
        <f t="shared" si="5"/>
        <v>0.17117360735532719</v>
      </c>
      <c r="AN13" s="5"/>
    </row>
    <row r="14" spans="1:40" ht="409.5" x14ac:dyDescent="0.35">
      <c r="A14" s="5">
        <v>6</v>
      </c>
      <c r="B14" s="5" t="s">
        <v>151</v>
      </c>
      <c r="C14" s="5"/>
      <c r="D14" s="5"/>
      <c r="E14" s="5"/>
      <c r="F14" s="5"/>
      <c r="G14" s="5"/>
      <c r="H14" s="5"/>
      <c r="I14" s="5"/>
      <c r="J14" s="5"/>
      <c r="K14" s="5"/>
      <c r="L14" s="5">
        <v>40</v>
      </c>
      <c r="M14" s="5" t="s">
        <v>152</v>
      </c>
      <c r="N14" s="5"/>
      <c r="O14" s="5">
        <v>52.5</v>
      </c>
      <c r="P14" s="5" t="s">
        <v>40</v>
      </c>
      <c r="Q14" s="5" t="s">
        <v>41</v>
      </c>
      <c r="R14" s="5" t="s">
        <v>153</v>
      </c>
      <c r="S14" s="5" t="s">
        <v>154</v>
      </c>
      <c r="T14" s="5" t="s">
        <v>155</v>
      </c>
      <c r="U14" s="5" t="s">
        <v>156</v>
      </c>
      <c r="V14" s="5" t="s">
        <v>157</v>
      </c>
      <c r="W14" s="5" t="s">
        <v>158</v>
      </c>
      <c r="X14" s="5" t="s">
        <v>144</v>
      </c>
      <c r="Y14" s="5">
        <v>12.27</v>
      </c>
      <c r="Z14" s="5">
        <v>15.11</v>
      </c>
      <c r="AA14" s="5"/>
      <c r="AB14" s="5"/>
      <c r="AC14" s="5" t="s">
        <v>159</v>
      </c>
      <c r="AD14" s="8">
        <v>5.13</v>
      </c>
      <c r="AE14" s="5">
        <v>39</v>
      </c>
      <c r="AF14" s="8">
        <v>1E-3</v>
      </c>
      <c r="AG14" s="4" t="s">
        <v>160</v>
      </c>
      <c r="AH14" s="5" t="s">
        <v>161</v>
      </c>
      <c r="AI14" s="47">
        <f t="shared" ref="AI14" si="13">AD14/SQRT(L14)</f>
        <v>0.81112421983318927</v>
      </c>
      <c r="AJ14" s="5">
        <f t="shared" si="11"/>
        <v>0.79542504138480497</v>
      </c>
      <c r="AK14" s="1"/>
      <c r="AL14" s="5"/>
      <c r="AM14" s="1">
        <f t="shared" si="5"/>
        <v>5.3954381227887621E-2</v>
      </c>
      <c r="AN14" s="5"/>
    </row>
    <row r="15" spans="1:40" ht="280.5" x14ac:dyDescent="0.35">
      <c r="A15" s="5">
        <v>6</v>
      </c>
      <c r="B15" s="5" t="s">
        <v>151</v>
      </c>
      <c r="C15" s="5"/>
      <c r="D15" s="5"/>
      <c r="E15" s="5"/>
      <c r="F15" s="5"/>
      <c r="G15" s="5"/>
      <c r="H15" s="5"/>
      <c r="I15" s="5"/>
      <c r="J15" s="5"/>
      <c r="K15" s="5"/>
      <c r="L15" s="5">
        <v>40</v>
      </c>
      <c r="M15" s="5" t="s">
        <v>152</v>
      </c>
      <c r="N15" s="5"/>
      <c r="O15" s="5">
        <v>52.5</v>
      </c>
      <c r="P15" s="5" t="s">
        <v>40</v>
      </c>
      <c r="Q15" s="5" t="s">
        <v>41</v>
      </c>
      <c r="R15" s="5" t="s">
        <v>153</v>
      </c>
      <c r="S15" s="5" t="s">
        <v>154</v>
      </c>
      <c r="T15" s="5" t="s">
        <v>155</v>
      </c>
      <c r="U15" s="5" t="s">
        <v>162</v>
      </c>
      <c r="V15" s="5" t="s">
        <v>157</v>
      </c>
      <c r="W15" s="5" t="s">
        <v>158</v>
      </c>
      <c r="X15" s="5" t="s">
        <v>144</v>
      </c>
      <c r="Y15" s="5"/>
      <c r="Z15" s="5"/>
      <c r="AA15" s="5">
        <v>9.48</v>
      </c>
      <c r="AB15" s="5">
        <v>14.08</v>
      </c>
      <c r="AC15" s="5" t="s">
        <v>159</v>
      </c>
      <c r="AD15" s="8">
        <v>4.26</v>
      </c>
      <c r="AE15" s="5">
        <v>39</v>
      </c>
      <c r="AF15" s="8">
        <v>1E-3</v>
      </c>
      <c r="AG15" s="4"/>
      <c r="AH15" s="5"/>
      <c r="AI15" s="47">
        <f t="shared" ref="AI15" si="14">AD15/SQRT(L15)</f>
        <v>0.67356514161586467</v>
      </c>
      <c r="AJ15" s="5">
        <f t="shared" ref="AJ15:AJ17" si="15">AI15*(1-(3/(4*(L15-1)-1)))</f>
        <v>0.66052839693942855</v>
      </c>
      <c r="AK15" s="5"/>
      <c r="AL15" s="5"/>
      <c r="AM15" s="1">
        <f t="shared" si="5"/>
        <v>5.2726861019771074E-2</v>
      </c>
      <c r="AN15" s="5"/>
    </row>
    <row r="16" spans="1:40" ht="280.5" x14ac:dyDescent="0.35">
      <c r="A16" s="5">
        <v>6</v>
      </c>
      <c r="B16" s="5" t="s">
        <v>151</v>
      </c>
      <c r="C16" s="5"/>
      <c r="D16" s="5"/>
      <c r="E16" s="5"/>
      <c r="F16" s="5"/>
      <c r="G16" s="5"/>
      <c r="H16" s="5"/>
      <c r="I16" s="5"/>
      <c r="J16" s="5"/>
      <c r="K16" s="5"/>
      <c r="L16" s="5">
        <v>40</v>
      </c>
      <c r="M16" s="5" t="s">
        <v>152</v>
      </c>
      <c r="N16" s="5"/>
      <c r="O16" s="5">
        <v>52.5</v>
      </c>
      <c r="P16" s="5" t="s">
        <v>40</v>
      </c>
      <c r="Q16" s="5" t="s">
        <v>41</v>
      </c>
      <c r="R16" s="5" t="s">
        <v>153</v>
      </c>
      <c r="S16" s="5" t="s">
        <v>154</v>
      </c>
      <c r="T16" s="5" t="s">
        <v>155</v>
      </c>
      <c r="U16" s="5" t="s">
        <v>163</v>
      </c>
      <c r="V16" s="5" t="s">
        <v>157</v>
      </c>
      <c r="W16" s="5" t="s">
        <v>158</v>
      </c>
      <c r="X16" s="5" t="s">
        <v>144</v>
      </c>
      <c r="Y16" s="5">
        <v>12.27</v>
      </c>
      <c r="Z16" s="5">
        <v>15.11</v>
      </c>
      <c r="AA16" s="5">
        <v>9.48</v>
      </c>
      <c r="AB16" s="5">
        <v>14.08</v>
      </c>
      <c r="AC16" s="5" t="s">
        <v>164</v>
      </c>
      <c r="AD16" s="8" t="s">
        <v>38</v>
      </c>
      <c r="AE16" s="5" t="s">
        <v>38</v>
      </c>
      <c r="AF16" s="8" t="s">
        <v>38</v>
      </c>
      <c r="AG16" s="4"/>
      <c r="AH16" s="5"/>
      <c r="AI16" s="46">
        <f t="shared" ref="AI16:AI17" si="16">(AA16-Y16)/AK16</f>
        <v>-0.19104245958918484</v>
      </c>
      <c r="AJ16" s="5">
        <f t="shared" si="15"/>
        <v>-0.18734486359713609</v>
      </c>
      <c r="AK16" s="1">
        <f t="shared" ref="AK16:AK17" si="17">SQRT(((L16-1)*Z16^2+(L16-1)*AB16^2)/(2*L16-2))</f>
        <v>14.604083333095575</v>
      </c>
      <c r="AL16" s="5"/>
      <c r="AM16" s="1">
        <f t="shared" si="5"/>
        <v>5.0219363111976438E-2</v>
      </c>
      <c r="AN16" s="5"/>
    </row>
    <row r="17" spans="1:40" ht="127.5" x14ac:dyDescent="0.35">
      <c r="A17" s="5">
        <v>6</v>
      </c>
      <c r="B17" s="5" t="s">
        <v>151</v>
      </c>
      <c r="C17" s="5"/>
      <c r="D17" s="5"/>
      <c r="E17" s="5"/>
      <c r="F17" s="5"/>
      <c r="G17" s="5"/>
      <c r="H17" s="5"/>
      <c r="I17" s="5"/>
      <c r="J17" s="5"/>
      <c r="K17" s="5"/>
      <c r="L17" s="5">
        <v>40</v>
      </c>
      <c r="M17" s="5" t="s">
        <v>152</v>
      </c>
      <c r="N17" s="5"/>
      <c r="O17" s="5">
        <v>52.5</v>
      </c>
      <c r="P17" s="5" t="s">
        <v>40</v>
      </c>
      <c r="Q17" s="5" t="s">
        <v>41</v>
      </c>
      <c r="R17" s="5" t="s">
        <v>165</v>
      </c>
      <c r="S17" s="5" t="s">
        <v>166</v>
      </c>
      <c r="T17" s="5" t="s">
        <v>167</v>
      </c>
      <c r="U17" s="5" t="s">
        <v>168</v>
      </c>
      <c r="V17" s="5" t="s">
        <v>169</v>
      </c>
      <c r="W17" s="5" t="s">
        <v>170</v>
      </c>
      <c r="X17" s="5" t="s">
        <v>171</v>
      </c>
      <c r="Y17" s="5">
        <v>9.57</v>
      </c>
      <c r="Z17" s="5">
        <v>3.52</v>
      </c>
      <c r="AA17" s="5">
        <v>9.3699999999999992</v>
      </c>
      <c r="AB17" s="5">
        <v>2.86</v>
      </c>
      <c r="AC17" s="5"/>
      <c r="AD17" s="8"/>
      <c r="AE17" s="5"/>
      <c r="AF17" s="8"/>
      <c r="AG17" s="4"/>
      <c r="AH17" s="5"/>
      <c r="AI17" s="46">
        <f t="shared" si="16"/>
        <v>-6.2363121870003549E-2</v>
      </c>
      <c r="AJ17" s="5">
        <f t="shared" si="15"/>
        <v>-6.1156093704777668E-2</v>
      </c>
      <c r="AK17" s="1">
        <f t="shared" si="17"/>
        <v>3.2070235421649151</v>
      </c>
      <c r="AL17" s="5"/>
      <c r="AM17" s="1">
        <f t="shared" si="5"/>
        <v>5.0023375423732676E-2</v>
      </c>
      <c r="AN17" s="5"/>
    </row>
    <row r="18" spans="1:40" ht="409.5" x14ac:dyDescent="0.35">
      <c r="A18" s="5">
        <v>7</v>
      </c>
      <c r="B18" s="5" t="s">
        <v>172</v>
      </c>
      <c r="C18" s="5"/>
      <c r="D18" s="5"/>
      <c r="E18" s="5"/>
      <c r="F18" s="5"/>
      <c r="G18" s="5"/>
      <c r="H18" s="5"/>
      <c r="I18" s="5"/>
      <c r="J18" s="5"/>
      <c r="K18" s="5"/>
      <c r="L18" s="5">
        <v>20</v>
      </c>
      <c r="M18" s="5" t="s">
        <v>173</v>
      </c>
      <c r="N18" s="5"/>
      <c r="O18" s="5">
        <v>65</v>
      </c>
      <c r="P18" s="5" t="s">
        <v>174</v>
      </c>
      <c r="Q18" s="5" t="s">
        <v>41</v>
      </c>
      <c r="R18" s="5" t="s">
        <v>175</v>
      </c>
      <c r="S18" s="5" t="s">
        <v>176</v>
      </c>
      <c r="T18" s="5" t="s">
        <v>177</v>
      </c>
      <c r="U18" s="5" t="s">
        <v>178</v>
      </c>
      <c r="V18" s="5" t="s">
        <v>179</v>
      </c>
      <c r="W18" s="5" t="s">
        <v>180</v>
      </c>
      <c r="X18" s="5" t="s">
        <v>144</v>
      </c>
      <c r="Y18" s="5">
        <v>29.4</v>
      </c>
      <c r="Z18" s="5">
        <v>11.4</v>
      </c>
      <c r="AA18" s="5">
        <v>50</v>
      </c>
      <c r="AB18" s="5">
        <v>14.5</v>
      </c>
      <c r="AC18" s="5" t="s">
        <v>181</v>
      </c>
      <c r="AD18" s="8">
        <v>16.11</v>
      </c>
      <c r="AE18" s="5" t="s">
        <v>182</v>
      </c>
      <c r="AF18" s="8" t="s">
        <v>98</v>
      </c>
      <c r="AG18" s="4" t="s">
        <v>183</v>
      </c>
      <c r="AH18" s="5" t="s">
        <v>184</v>
      </c>
      <c r="AI18" s="47">
        <f>SQRT(AD18)/SQRT(L18)</f>
        <v>0.89749651809909547</v>
      </c>
      <c r="AJ18" s="5">
        <f t="shared" ref="AJ18:AJ19" si="18">AI18*(1-(3/(4*(L18-1)-1)))</f>
        <v>0.86159665737513158</v>
      </c>
      <c r="AK18" s="5"/>
      <c r="AL18" s="5"/>
      <c r="AM18" s="1">
        <f t="shared" si="5"/>
        <v>0.10927936000000001</v>
      </c>
      <c r="AN18" s="5"/>
    </row>
    <row r="19" spans="1:40" ht="191.25" x14ac:dyDescent="0.35">
      <c r="A19" s="5">
        <v>7</v>
      </c>
      <c r="B19" s="5" t="s">
        <v>172</v>
      </c>
      <c r="C19" s="5"/>
      <c r="D19" s="5"/>
      <c r="E19" s="5"/>
      <c r="F19" s="5"/>
      <c r="G19" s="5"/>
      <c r="H19" s="5"/>
      <c r="I19" s="5"/>
      <c r="J19" s="5"/>
      <c r="K19" s="5"/>
      <c r="L19" s="5">
        <v>20</v>
      </c>
      <c r="M19" s="5" t="s">
        <v>173</v>
      </c>
      <c r="N19" s="5"/>
      <c r="O19" s="5">
        <v>65</v>
      </c>
      <c r="P19" s="5" t="s">
        <v>174</v>
      </c>
      <c r="Q19" s="5" t="s">
        <v>41</v>
      </c>
      <c r="R19" s="5" t="s">
        <v>175</v>
      </c>
      <c r="S19" s="5" t="s">
        <v>176</v>
      </c>
      <c r="T19" s="5" t="s">
        <v>177</v>
      </c>
      <c r="U19" s="5" t="s">
        <v>185</v>
      </c>
      <c r="V19" s="5" t="s">
        <v>179</v>
      </c>
      <c r="W19" s="5" t="s">
        <v>180</v>
      </c>
      <c r="X19" s="5" t="s">
        <v>144</v>
      </c>
      <c r="Y19" s="5">
        <v>57</v>
      </c>
      <c r="Z19" s="5">
        <v>12.9</v>
      </c>
      <c r="AA19" s="5">
        <v>60.8</v>
      </c>
      <c r="AB19" s="5">
        <v>14.2</v>
      </c>
      <c r="AC19" s="5" t="s">
        <v>181</v>
      </c>
      <c r="AD19" s="8" t="s">
        <v>38</v>
      </c>
      <c r="AE19" s="5" t="s">
        <v>38</v>
      </c>
      <c r="AF19" s="8" t="s">
        <v>38</v>
      </c>
      <c r="AG19" s="4"/>
      <c r="AH19" s="5"/>
      <c r="AI19" s="46">
        <f t="shared" ref="AI19" si="19">(AA19-Y19)/AK19</f>
        <v>0.28012068740265489</v>
      </c>
      <c r="AJ19" s="5">
        <f t="shared" si="18"/>
        <v>0.2689158599065487</v>
      </c>
      <c r="AK19" s="1">
        <f t="shared" ref="AK19" si="20">SQRT(((L19-1)*Z19^2+(L19-1)*AB19^2)/(2*L19-2))</f>
        <v>13.565581447177264</v>
      </c>
      <c r="AL19" s="5"/>
      <c r="AM19" s="1">
        <f t="shared" si="5"/>
        <v>0.10090394674636599</v>
      </c>
      <c r="AN19" s="5"/>
    </row>
    <row r="20" spans="1:40" ht="191.25" x14ac:dyDescent="0.35">
      <c r="A20" s="5">
        <v>7</v>
      </c>
      <c r="B20" s="5" t="s">
        <v>172</v>
      </c>
      <c r="C20" s="5"/>
      <c r="D20" s="5"/>
      <c r="E20" s="5"/>
      <c r="F20" s="5"/>
      <c r="G20" s="5"/>
      <c r="H20" s="5"/>
      <c r="I20" s="5"/>
      <c r="J20" s="5"/>
      <c r="K20" s="5"/>
      <c r="L20" s="5">
        <v>20</v>
      </c>
      <c r="M20" s="5" t="s">
        <v>173</v>
      </c>
      <c r="N20" s="5"/>
      <c r="O20" s="5">
        <v>65</v>
      </c>
      <c r="P20" s="5" t="s">
        <v>174</v>
      </c>
      <c r="Q20" s="5" t="s">
        <v>41</v>
      </c>
      <c r="R20" s="5" t="s">
        <v>175</v>
      </c>
      <c r="S20" s="5" t="s">
        <v>176</v>
      </c>
      <c r="T20" s="5" t="s">
        <v>177</v>
      </c>
      <c r="U20" s="5" t="s">
        <v>186</v>
      </c>
      <c r="V20" s="5" t="s">
        <v>179</v>
      </c>
      <c r="W20" s="5" t="s">
        <v>180</v>
      </c>
      <c r="X20" s="5" t="s">
        <v>144</v>
      </c>
      <c r="Y20" s="5">
        <v>29.6</v>
      </c>
      <c r="Z20" s="5">
        <v>11.4</v>
      </c>
      <c r="AA20" s="5">
        <v>57</v>
      </c>
      <c r="AB20" s="5">
        <v>12.9</v>
      </c>
      <c r="AC20" s="5" t="s">
        <v>181</v>
      </c>
      <c r="AD20" s="8">
        <v>4.3</v>
      </c>
      <c r="AE20" s="5" t="s">
        <v>182</v>
      </c>
      <c r="AF20" s="8">
        <v>4.2000000000000003E-2</v>
      </c>
      <c r="AG20" s="4"/>
      <c r="AH20" s="5"/>
      <c r="AI20" s="47">
        <f>SQRT(AD20)/SQRT(L20)</f>
        <v>0.46368092477478512</v>
      </c>
      <c r="AJ20" s="5">
        <f t="shared" ref="AJ20:AJ24" si="21">AI20*(1-(3/(4*(L20-1)-1)))</f>
        <v>0.4451336877837937</v>
      </c>
      <c r="AK20" s="5"/>
      <c r="AL20" s="5"/>
      <c r="AM20" s="1">
        <f t="shared" si="5"/>
        <v>0.10247680000000001</v>
      </c>
      <c r="AN20" s="5"/>
    </row>
    <row r="21" spans="1:40" ht="191.25" x14ac:dyDescent="0.35">
      <c r="A21" s="5">
        <v>7</v>
      </c>
      <c r="B21" s="5" t="s">
        <v>172</v>
      </c>
      <c r="C21" s="5"/>
      <c r="D21" s="5"/>
      <c r="E21" s="5"/>
      <c r="F21" s="5"/>
      <c r="G21" s="5"/>
      <c r="H21" s="5"/>
      <c r="I21" s="5"/>
      <c r="J21" s="5"/>
      <c r="K21" s="5"/>
      <c r="L21" s="5">
        <v>20</v>
      </c>
      <c r="M21" s="5" t="s">
        <v>173</v>
      </c>
      <c r="N21" s="5"/>
      <c r="O21" s="5">
        <v>65</v>
      </c>
      <c r="P21" s="5" t="s">
        <v>174</v>
      </c>
      <c r="Q21" s="5" t="s">
        <v>41</v>
      </c>
      <c r="R21" s="5" t="s">
        <v>175</v>
      </c>
      <c r="S21" s="5" t="s">
        <v>176</v>
      </c>
      <c r="T21" s="5" t="s">
        <v>177</v>
      </c>
      <c r="U21" s="5" t="s">
        <v>187</v>
      </c>
      <c r="V21" s="5" t="s">
        <v>179</v>
      </c>
      <c r="W21" s="5" t="s">
        <v>180</v>
      </c>
      <c r="X21" s="5" t="s">
        <v>144</v>
      </c>
      <c r="Y21" s="5">
        <v>27.9</v>
      </c>
      <c r="Z21" s="5">
        <v>13.8</v>
      </c>
      <c r="AA21" s="5">
        <v>54.3</v>
      </c>
      <c r="AB21" s="5">
        <v>20.3</v>
      </c>
      <c r="AC21" s="5" t="s">
        <v>181</v>
      </c>
      <c r="AD21" s="8" t="s">
        <v>38</v>
      </c>
      <c r="AE21" s="5" t="s">
        <v>38</v>
      </c>
      <c r="AF21" s="8" t="s">
        <v>38</v>
      </c>
      <c r="AG21" s="4"/>
      <c r="AH21" s="5"/>
      <c r="AI21" s="46">
        <f t="shared" ref="AI21:AI22" si="22">(AA21-Y21)/AK21</f>
        <v>1.5210013062763146</v>
      </c>
      <c r="AJ21" s="5">
        <f t="shared" si="21"/>
        <v>1.460161254025262</v>
      </c>
      <c r="AK21" s="1">
        <f t="shared" ref="AK21:AK22" si="23">SQRT(((L21-1)*Z21^2+(L21-1)*AB21^2)/(2*L21-2))</f>
        <v>17.356987065732348</v>
      </c>
      <c r="AL21" s="5"/>
      <c r="AM21" s="1">
        <f t="shared" si="5"/>
        <v>0.12665088609695782</v>
      </c>
      <c r="AN21" s="5"/>
    </row>
    <row r="22" spans="1:40" ht="191.25" x14ac:dyDescent="0.35">
      <c r="A22" s="5">
        <v>7</v>
      </c>
      <c r="B22" s="5" t="s">
        <v>172</v>
      </c>
      <c r="C22" s="5"/>
      <c r="D22" s="5"/>
      <c r="E22" s="5"/>
      <c r="F22" s="5"/>
      <c r="G22" s="5"/>
      <c r="H22" s="5"/>
      <c r="I22" s="5"/>
      <c r="J22" s="5"/>
      <c r="K22" s="5"/>
      <c r="L22" s="5">
        <v>20</v>
      </c>
      <c r="M22" s="5" t="s">
        <v>173</v>
      </c>
      <c r="N22" s="5"/>
      <c r="O22" s="5">
        <v>65</v>
      </c>
      <c r="P22" s="5" t="s">
        <v>174</v>
      </c>
      <c r="Q22" s="5" t="s">
        <v>41</v>
      </c>
      <c r="R22" s="5" t="s">
        <v>175</v>
      </c>
      <c r="S22" s="5" t="s">
        <v>176</v>
      </c>
      <c r="T22" s="5" t="s">
        <v>177</v>
      </c>
      <c r="U22" s="5" t="s">
        <v>188</v>
      </c>
      <c r="V22" s="5" t="s">
        <v>179</v>
      </c>
      <c r="W22" s="5" t="s">
        <v>180</v>
      </c>
      <c r="X22" s="5" t="s">
        <v>144</v>
      </c>
      <c r="Y22" s="5">
        <v>59.6</v>
      </c>
      <c r="Z22" s="5">
        <v>15.4</v>
      </c>
      <c r="AA22" s="5">
        <v>58.2</v>
      </c>
      <c r="AB22" s="5">
        <v>20</v>
      </c>
      <c r="AC22" s="5" t="s">
        <v>181</v>
      </c>
      <c r="AD22" s="8" t="s">
        <v>38</v>
      </c>
      <c r="AE22" s="5" t="s">
        <v>38</v>
      </c>
      <c r="AF22" s="8" t="s">
        <v>38</v>
      </c>
      <c r="AG22" s="4"/>
      <c r="AH22" s="5"/>
      <c r="AI22" s="46">
        <f t="shared" si="22"/>
        <v>-7.8436603922882209E-2</v>
      </c>
      <c r="AJ22" s="5">
        <f t="shared" si="21"/>
        <v>-7.5299139765966916E-2</v>
      </c>
      <c r="AK22" s="1">
        <f t="shared" si="23"/>
        <v>17.848809484108457</v>
      </c>
      <c r="AL22" s="5"/>
      <c r="AM22" s="1">
        <f t="shared" si="5"/>
        <v>0.10007087450561869</v>
      </c>
      <c r="AN22" s="5"/>
    </row>
    <row r="23" spans="1:40" ht="191.25" x14ac:dyDescent="0.35">
      <c r="A23" s="5">
        <v>7</v>
      </c>
      <c r="B23" s="5" t="s">
        <v>172</v>
      </c>
      <c r="C23" s="5"/>
      <c r="D23" s="5"/>
      <c r="E23" s="5"/>
      <c r="F23" s="5"/>
      <c r="G23" s="5"/>
      <c r="H23" s="5"/>
      <c r="I23" s="5"/>
      <c r="J23" s="5"/>
      <c r="K23" s="5"/>
      <c r="L23" s="5">
        <v>20</v>
      </c>
      <c r="M23" s="5" t="s">
        <v>173</v>
      </c>
      <c r="N23" s="5"/>
      <c r="O23" s="5">
        <v>65</v>
      </c>
      <c r="P23" s="5" t="s">
        <v>174</v>
      </c>
      <c r="Q23" s="5" t="s">
        <v>41</v>
      </c>
      <c r="R23" s="5" t="s">
        <v>175</v>
      </c>
      <c r="S23" s="5" t="s">
        <v>176</v>
      </c>
      <c r="T23" s="5" t="s">
        <v>177</v>
      </c>
      <c r="U23" s="5" t="s">
        <v>189</v>
      </c>
      <c r="V23" s="5" t="s">
        <v>179</v>
      </c>
      <c r="W23" s="5" t="s">
        <v>180</v>
      </c>
      <c r="X23" s="5" t="s">
        <v>144</v>
      </c>
      <c r="Y23" s="5">
        <v>50</v>
      </c>
      <c r="Z23" s="5">
        <v>14.5</v>
      </c>
      <c r="AA23" s="5">
        <v>60.8</v>
      </c>
      <c r="AB23" s="5">
        <v>14.2</v>
      </c>
      <c r="AC23" s="5" t="s">
        <v>80</v>
      </c>
      <c r="AD23" s="8">
        <v>3.36</v>
      </c>
      <c r="AE23" s="5">
        <v>19</v>
      </c>
      <c r="AF23" s="8">
        <v>2E-3</v>
      </c>
      <c r="AG23" s="4"/>
      <c r="AH23" s="5"/>
      <c r="AI23" s="47">
        <f t="shared" ref="AI23:AI24" si="24">AD23/SQRT(L23)</f>
        <v>0.75131884043992925</v>
      </c>
      <c r="AJ23" s="5">
        <f t="shared" si="21"/>
        <v>0.72126608682233206</v>
      </c>
      <c r="AK23" s="5"/>
      <c r="AL23" s="5"/>
      <c r="AM23" s="1">
        <f t="shared" si="5"/>
        <v>0.1065028096</v>
      </c>
      <c r="AN23" s="5"/>
    </row>
    <row r="24" spans="1:40" ht="191.25" x14ac:dyDescent="0.35">
      <c r="A24" s="5">
        <v>7</v>
      </c>
      <c r="B24" s="5" t="s">
        <v>172</v>
      </c>
      <c r="C24" s="5"/>
      <c r="D24" s="5"/>
      <c r="E24" s="5"/>
      <c r="F24" s="5"/>
      <c r="G24" s="5"/>
      <c r="H24" s="5"/>
      <c r="I24" s="5"/>
      <c r="J24" s="5"/>
      <c r="K24" s="5"/>
      <c r="L24" s="5">
        <v>20</v>
      </c>
      <c r="M24" s="5" t="s">
        <v>173</v>
      </c>
      <c r="N24" s="5"/>
      <c r="O24" s="5">
        <v>65</v>
      </c>
      <c r="P24" s="5" t="s">
        <v>174</v>
      </c>
      <c r="Q24" s="5" t="s">
        <v>41</v>
      </c>
      <c r="R24" s="5" t="s">
        <v>175</v>
      </c>
      <c r="S24" s="5" t="s">
        <v>176</v>
      </c>
      <c r="T24" s="5" t="s">
        <v>177</v>
      </c>
      <c r="U24" s="5" t="s">
        <v>190</v>
      </c>
      <c r="V24" s="5" t="s">
        <v>179</v>
      </c>
      <c r="W24" s="5" t="s">
        <v>180</v>
      </c>
      <c r="X24" s="5" t="s">
        <v>144</v>
      </c>
      <c r="Y24" s="5">
        <v>56.3</v>
      </c>
      <c r="Z24" s="5">
        <v>9.9</v>
      </c>
      <c r="AA24" s="5">
        <v>50</v>
      </c>
      <c r="AB24" s="5">
        <v>14.5</v>
      </c>
      <c r="AC24" s="5" t="s">
        <v>80</v>
      </c>
      <c r="AD24" s="8">
        <v>1.96</v>
      </c>
      <c r="AE24" s="5">
        <v>19</v>
      </c>
      <c r="AF24" s="8">
        <v>6.6000000000000003E-2</v>
      </c>
      <c r="AG24" s="4"/>
      <c r="AH24" s="5"/>
      <c r="AI24" s="47">
        <f t="shared" si="24"/>
        <v>0.43826932358995874</v>
      </c>
      <c r="AJ24" s="5">
        <f t="shared" si="21"/>
        <v>0.4207385506463604</v>
      </c>
      <c r="AK24" s="5"/>
      <c r="AL24" s="5"/>
      <c r="AM24" s="1">
        <f t="shared" si="5"/>
        <v>0.10221276160000001</v>
      </c>
      <c r="AN24" s="5"/>
    </row>
    <row r="25" spans="1:40" ht="191.25" x14ac:dyDescent="0.35">
      <c r="A25" s="5">
        <v>7</v>
      </c>
      <c r="B25" s="5" t="s">
        <v>172</v>
      </c>
      <c r="C25" s="5"/>
      <c r="D25" s="5"/>
      <c r="E25" s="5"/>
      <c r="F25" s="5"/>
      <c r="G25" s="5"/>
      <c r="H25" s="5"/>
      <c r="I25" s="5"/>
      <c r="J25" s="5"/>
      <c r="K25" s="5"/>
      <c r="L25" s="5">
        <v>20</v>
      </c>
      <c r="M25" s="5" t="s">
        <v>173</v>
      </c>
      <c r="N25" s="5"/>
      <c r="O25" s="5">
        <v>65</v>
      </c>
      <c r="P25" s="5" t="s">
        <v>174</v>
      </c>
      <c r="Q25" s="5" t="s">
        <v>41</v>
      </c>
      <c r="R25" s="5" t="s">
        <v>175</v>
      </c>
      <c r="S25" s="5" t="s">
        <v>176</v>
      </c>
      <c r="T25" s="5" t="s">
        <v>191</v>
      </c>
      <c r="U25" s="5" t="s">
        <v>192</v>
      </c>
      <c r="V25" s="5" t="s">
        <v>193</v>
      </c>
      <c r="W25" s="5" t="s">
        <v>194</v>
      </c>
      <c r="X25" s="5" t="s">
        <v>195</v>
      </c>
      <c r="Y25" s="5">
        <v>46.6</v>
      </c>
      <c r="Z25" s="5">
        <v>13.9</v>
      </c>
      <c r="AA25" s="5">
        <v>51.3</v>
      </c>
      <c r="AB25" s="5">
        <v>17.100000000000001</v>
      </c>
      <c r="AC25" s="5" t="s">
        <v>38</v>
      </c>
      <c r="AD25" s="8" t="s">
        <v>38</v>
      </c>
      <c r="AE25" s="5" t="s">
        <v>38</v>
      </c>
      <c r="AF25" s="8" t="s">
        <v>38</v>
      </c>
      <c r="AG25" s="4"/>
      <c r="AH25" s="5"/>
      <c r="AI25" s="46">
        <f t="shared" ref="AI25" si="25">(AA25-Y25)/AK25</f>
        <v>0.3016230821246268</v>
      </c>
      <c r="AJ25" s="5">
        <f t="shared" ref="AJ25:AJ27" si="26">AI25*(1-(3/(4*(L25-1)-1)))</f>
        <v>0.2895581588396417</v>
      </c>
      <c r="AK25" s="1">
        <f t="shared" ref="AK25" si="27">SQRT(((L25-1)*Z25^2+(L25-1)*AB25^2)/(2*L25-2))</f>
        <v>15.582361823549087</v>
      </c>
      <c r="AL25" s="5"/>
      <c r="AM25" s="1">
        <f t="shared" si="5"/>
        <v>0.10104804909188254</v>
      </c>
      <c r="AN25" s="5"/>
    </row>
    <row r="26" spans="1:40" ht="409.5" x14ac:dyDescent="0.35">
      <c r="A26" s="14">
        <v>14</v>
      </c>
      <c r="B26" s="14" t="s">
        <v>308</v>
      </c>
      <c r="C26" s="14"/>
      <c r="D26" s="14"/>
      <c r="E26" s="14"/>
      <c r="F26" s="14"/>
      <c r="G26" s="14"/>
      <c r="H26" s="14">
        <v>15</v>
      </c>
      <c r="I26" s="14" t="s">
        <v>309</v>
      </c>
      <c r="J26" s="14"/>
      <c r="K26" s="14">
        <v>40</v>
      </c>
      <c r="L26" s="14">
        <v>15</v>
      </c>
      <c r="M26" s="14"/>
      <c r="N26" s="14"/>
      <c r="O26" s="14">
        <f>6/15*100</f>
        <v>40</v>
      </c>
      <c r="P26" s="14" t="s">
        <v>70</v>
      </c>
      <c r="Q26" s="14" t="s">
        <v>41</v>
      </c>
      <c r="R26" s="14" t="s">
        <v>310</v>
      </c>
      <c r="S26" s="14" t="s">
        <v>311</v>
      </c>
      <c r="T26" s="14" t="s">
        <v>312</v>
      </c>
      <c r="U26" s="14" t="s">
        <v>313</v>
      </c>
      <c r="V26" s="14" t="s">
        <v>314</v>
      </c>
      <c r="W26" s="14"/>
      <c r="X26" s="14" t="s">
        <v>315</v>
      </c>
      <c r="Y26" s="14" t="s">
        <v>38</v>
      </c>
      <c r="Z26" s="14" t="s">
        <v>38</v>
      </c>
      <c r="AA26" s="14" t="s">
        <v>38</v>
      </c>
      <c r="AB26" s="14" t="s">
        <v>38</v>
      </c>
      <c r="AC26" s="14" t="s">
        <v>316</v>
      </c>
      <c r="AD26" s="43">
        <v>3.12</v>
      </c>
      <c r="AE26" s="14">
        <v>14</v>
      </c>
      <c r="AF26" s="15">
        <v>5.5555555555555558E-3</v>
      </c>
      <c r="AG26" s="16" t="s">
        <v>317</v>
      </c>
      <c r="AH26" s="14"/>
      <c r="AI26" s="47">
        <f t="shared" ref="AI26" si="28">AD26/SQRT(L26)</f>
        <v>0.80558053601114266</v>
      </c>
      <c r="AJ26" s="5">
        <f t="shared" si="26"/>
        <v>0.7616397795014439</v>
      </c>
      <c r="AK26" s="14"/>
      <c r="AL26" s="14"/>
      <c r="AM26" s="1">
        <f t="shared" si="5"/>
        <v>0.14300158589531681</v>
      </c>
      <c r="AN26" s="14"/>
    </row>
    <row r="27" spans="1:40" ht="102" x14ac:dyDescent="0.35">
      <c r="A27" s="14">
        <v>14</v>
      </c>
      <c r="B27" s="14" t="s">
        <v>308</v>
      </c>
      <c r="C27" s="14"/>
      <c r="D27" s="14"/>
      <c r="E27" s="14"/>
      <c r="F27" s="14"/>
      <c r="G27" s="14"/>
      <c r="H27" s="14">
        <v>16</v>
      </c>
      <c r="I27" s="14" t="s">
        <v>318</v>
      </c>
      <c r="J27" s="14"/>
      <c r="K27" s="14">
        <v>50</v>
      </c>
      <c r="L27" s="14">
        <v>16</v>
      </c>
      <c r="M27" s="14"/>
      <c r="N27" s="14"/>
      <c r="O27" s="14">
        <v>50</v>
      </c>
      <c r="P27" s="14" t="s">
        <v>70</v>
      </c>
      <c r="Q27" s="14" t="s">
        <v>41</v>
      </c>
      <c r="R27" s="14" t="s">
        <v>310</v>
      </c>
      <c r="S27" s="14" t="s">
        <v>311</v>
      </c>
      <c r="T27" s="14" t="s">
        <v>312</v>
      </c>
      <c r="U27" s="14" t="s">
        <v>319</v>
      </c>
      <c r="V27" s="14" t="s">
        <v>320</v>
      </c>
      <c r="W27" s="14" t="s">
        <v>143</v>
      </c>
      <c r="X27" s="14" t="s">
        <v>321</v>
      </c>
      <c r="Y27" s="14" t="s">
        <v>38</v>
      </c>
      <c r="Z27" s="14" t="s">
        <v>38</v>
      </c>
      <c r="AA27" s="14" t="s">
        <v>38</v>
      </c>
      <c r="AB27" s="14" t="s">
        <v>38</v>
      </c>
      <c r="AC27" s="14" t="s">
        <v>316</v>
      </c>
      <c r="AD27" s="43">
        <v>1.0900000000000001</v>
      </c>
      <c r="AE27" s="14">
        <v>15</v>
      </c>
      <c r="AF27" s="14" t="s">
        <v>322</v>
      </c>
      <c r="AG27" s="16" t="s">
        <v>323</v>
      </c>
      <c r="AH27" s="14"/>
      <c r="AI27" s="47">
        <f>AD27/SQRT(L27)</f>
        <v>0.27250000000000002</v>
      </c>
      <c r="AJ27" s="5">
        <f t="shared" si="26"/>
        <v>0.2586440677966102</v>
      </c>
      <c r="AK27" s="14"/>
      <c r="AL27" s="14"/>
      <c r="AM27" s="1">
        <f t="shared" si="5"/>
        <v>0.12604526177822464</v>
      </c>
      <c r="AN27" s="14"/>
    </row>
    <row r="28" spans="1:40" ht="102" x14ac:dyDescent="0.35">
      <c r="A28" s="17">
        <v>14</v>
      </c>
      <c r="B28" s="17" t="s">
        <v>308</v>
      </c>
      <c r="C28" s="18"/>
      <c r="D28" s="18"/>
      <c r="E28" s="18"/>
      <c r="F28" s="18"/>
      <c r="G28" s="18"/>
      <c r="H28" s="14">
        <v>16</v>
      </c>
      <c r="I28" s="14" t="s">
        <v>318</v>
      </c>
      <c r="J28" s="14"/>
      <c r="K28" s="14">
        <v>50</v>
      </c>
      <c r="L28" s="14">
        <v>16</v>
      </c>
      <c r="M28" s="14"/>
      <c r="N28" s="14"/>
      <c r="O28" s="14">
        <v>50</v>
      </c>
      <c r="P28" s="17" t="s">
        <v>70</v>
      </c>
      <c r="Q28" s="17" t="s">
        <v>41</v>
      </c>
      <c r="R28" s="17" t="s">
        <v>310</v>
      </c>
      <c r="S28" s="17" t="s">
        <v>311</v>
      </c>
      <c r="T28" s="17" t="s">
        <v>312</v>
      </c>
      <c r="U28" s="14" t="s">
        <v>319</v>
      </c>
      <c r="V28" s="17" t="s">
        <v>324</v>
      </c>
      <c r="W28" s="17" t="s">
        <v>143</v>
      </c>
      <c r="X28" s="17" t="s">
        <v>325</v>
      </c>
      <c r="Y28" s="17" t="s">
        <v>38</v>
      </c>
      <c r="Z28" s="17" t="s">
        <v>38</v>
      </c>
      <c r="AA28" s="17" t="s">
        <v>38</v>
      </c>
      <c r="AB28" s="17" t="s">
        <v>38</v>
      </c>
      <c r="AC28" s="17" t="s">
        <v>316</v>
      </c>
      <c r="AD28" s="44">
        <v>1.06</v>
      </c>
      <c r="AE28" s="17">
        <v>15</v>
      </c>
      <c r="AF28" s="17" t="s">
        <v>326</v>
      </c>
      <c r="AG28" s="16" t="s">
        <v>323</v>
      </c>
      <c r="AH28" s="18"/>
      <c r="AI28" s="47">
        <f>AD28/SQRT(L28)</f>
        <v>0.26500000000000001</v>
      </c>
      <c r="AJ28" s="5">
        <f t="shared" ref="AJ28:AJ31" si="29">AI28*(1-(3/(4*(L28-1)-1)))</f>
        <v>0.25152542372881359</v>
      </c>
      <c r="AK28" s="18"/>
      <c r="AL28" s="18"/>
      <c r="AM28" s="1">
        <f t="shared" si="5"/>
        <v>0.1259885162309681</v>
      </c>
      <c r="AN28" s="18"/>
    </row>
    <row r="29" spans="1:40" ht="102" x14ac:dyDescent="0.35">
      <c r="A29" s="14">
        <v>14</v>
      </c>
      <c r="B29" s="14" t="s">
        <v>308</v>
      </c>
      <c r="C29" s="14"/>
      <c r="D29" s="14"/>
      <c r="E29" s="14"/>
      <c r="F29" s="14"/>
      <c r="G29" s="14"/>
      <c r="H29" s="14">
        <v>16</v>
      </c>
      <c r="I29" s="14" t="s">
        <v>318</v>
      </c>
      <c r="J29" s="14"/>
      <c r="K29" s="14">
        <v>50</v>
      </c>
      <c r="L29" s="14">
        <v>16</v>
      </c>
      <c r="M29" s="14"/>
      <c r="N29" s="14"/>
      <c r="O29" s="14">
        <v>50</v>
      </c>
      <c r="P29" s="14" t="s">
        <v>70</v>
      </c>
      <c r="Q29" s="14" t="s">
        <v>41</v>
      </c>
      <c r="R29" s="14" t="s">
        <v>310</v>
      </c>
      <c r="S29" s="14" t="s">
        <v>311</v>
      </c>
      <c r="T29" s="14" t="s">
        <v>312</v>
      </c>
      <c r="U29" s="14" t="s">
        <v>327</v>
      </c>
      <c r="V29" s="14" t="s">
        <v>320</v>
      </c>
      <c r="W29" s="14" t="s">
        <v>143</v>
      </c>
      <c r="X29" s="14" t="s">
        <v>321</v>
      </c>
      <c r="Y29" s="14" t="s">
        <v>38</v>
      </c>
      <c r="Z29" s="14" t="s">
        <v>38</v>
      </c>
      <c r="AA29" s="14" t="s">
        <v>38</v>
      </c>
      <c r="AB29" s="14" t="s">
        <v>38</v>
      </c>
      <c r="AC29" s="14" t="s">
        <v>316</v>
      </c>
      <c r="AD29" s="43">
        <v>0.8</v>
      </c>
      <c r="AE29" s="14">
        <v>15</v>
      </c>
      <c r="AF29" s="14" t="s">
        <v>329</v>
      </c>
      <c r="AG29" s="16" t="s">
        <v>323</v>
      </c>
      <c r="AH29" s="14"/>
      <c r="AI29" s="47">
        <f>AD29/SQRT(L29)</f>
        <v>0.2</v>
      </c>
      <c r="AJ29" s="5">
        <f t="shared" si="29"/>
        <v>0.18983050847457628</v>
      </c>
      <c r="AK29" s="14"/>
      <c r="AL29" s="14"/>
      <c r="AM29" s="1">
        <f t="shared" si="5"/>
        <v>0.12556305659293307</v>
      </c>
      <c r="AN29" s="14"/>
    </row>
    <row r="30" spans="1:40" ht="102" x14ac:dyDescent="0.35">
      <c r="A30" s="17">
        <v>14</v>
      </c>
      <c r="B30" s="17" t="s">
        <v>308</v>
      </c>
      <c r="C30" s="18"/>
      <c r="D30" s="18"/>
      <c r="E30" s="18"/>
      <c r="F30" s="18"/>
      <c r="G30" s="18"/>
      <c r="H30" s="14">
        <v>16</v>
      </c>
      <c r="I30" s="14" t="s">
        <v>318</v>
      </c>
      <c r="J30" s="14"/>
      <c r="K30" s="14">
        <v>50</v>
      </c>
      <c r="L30" s="14">
        <v>16</v>
      </c>
      <c r="M30" s="14"/>
      <c r="N30" s="14"/>
      <c r="O30" s="14">
        <v>50</v>
      </c>
      <c r="P30" s="17" t="s">
        <v>70</v>
      </c>
      <c r="Q30" s="17" t="s">
        <v>41</v>
      </c>
      <c r="R30" s="17" t="s">
        <v>310</v>
      </c>
      <c r="S30" s="17" t="s">
        <v>311</v>
      </c>
      <c r="T30" s="17" t="s">
        <v>312</v>
      </c>
      <c r="U30" s="14" t="s">
        <v>327</v>
      </c>
      <c r="V30" s="17" t="s">
        <v>324</v>
      </c>
      <c r="W30" s="17" t="s">
        <v>143</v>
      </c>
      <c r="X30" s="17" t="s">
        <v>325</v>
      </c>
      <c r="Y30" s="17" t="s">
        <v>38</v>
      </c>
      <c r="Z30" s="17" t="s">
        <v>38</v>
      </c>
      <c r="AA30" s="17" t="s">
        <v>38</v>
      </c>
      <c r="AB30" s="17" t="s">
        <v>38</v>
      </c>
      <c r="AC30" s="17" t="s">
        <v>316</v>
      </c>
      <c r="AD30" s="44">
        <v>0.35</v>
      </c>
      <c r="AE30" s="17">
        <v>15</v>
      </c>
      <c r="AF30" s="19">
        <v>5.0694444444444445E-2</v>
      </c>
      <c r="AG30" s="16" t="s">
        <v>323</v>
      </c>
      <c r="AH30" s="18"/>
      <c r="AI30" s="48">
        <f>AD30/SQRT(L30)</f>
        <v>8.7499999999999994E-2</v>
      </c>
      <c r="AJ30" s="18">
        <f t="shared" si="29"/>
        <v>8.3050847457627114E-2</v>
      </c>
      <c r="AK30" s="18"/>
      <c r="AL30" s="18"/>
      <c r="AM30" s="1">
        <f t="shared" si="5"/>
        <v>0.12510777255099109</v>
      </c>
      <c r="AN30" s="18"/>
    </row>
    <row r="31" spans="1:40" ht="409.5" x14ac:dyDescent="0.35">
      <c r="A31" s="14">
        <v>15</v>
      </c>
      <c r="B31" s="14" t="s">
        <v>330</v>
      </c>
      <c r="C31" s="14"/>
      <c r="D31" s="14"/>
      <c r="E31" s="14"/>
      <c r="F31" s="14"/>
      <c r="G31" s="14"/>
      <c r="H31" s="14">
        <v>24</v>
      </c>
      <c r="I31" s="14" t="s">
        <v>331</v>
      </c>
      <c r="J31" s="14"/>
      <c r="K31" s="14" t="s">
        <v>332</v>
      </c>
      <c r="L31" s="14">
        <v>24</v>
      </c>
      <c r="M31" s="14"/>
      <c r="N31" s="14"/>
      <c r="O31" s="14"/>
      <c r="P31" s="14" t="s">
        <v>70</v>
      </c>
      <c r="Q31" s="14" t="s">
        <v>41</v>
      </c>
      <c r="R31" s="14" t="s">
        <v>333</v>
      </c>
      <c r="S31" s="14" t="s">
        <v>334</v>
      </c>
      <c r="T31" s="14" t="s">
        <v>334</v>
      </c>
      <c r="U31" s="14" t="s">
        <v>335</v>
      </c>
      <c r="V31" s="14" t="s">
        <v>336</v>
      </c>
      <c r="W31" s="14" t="s">
        <v>337</v>
      </c>
      <c r="X31" s="14" t="s">
        <v>338</v>
      </c>
      <c r="Y31" s="14" t="s">
        <v>38</v>
      </c>
      <c r="Z31" s="14" t="s">
        <v>38</v>
      </c>
      <c r="AA31" s="14" t="s">
        <v>38</v>
      </c>
      <c r="AB31" s="14" t="s">
        <v>38</v>
      </c>
      <c r="AC31" s="14" t="s">
        <v>181</v>
      </c>
      <c r="AD31" s="14">
        <v>0.83</v>
      </c>
      <c r="AE31" s="14" t="s">
        <v>38</v>
      </c>
      <c r="AF31" s="20">
        <v>0.247</v>
      </c>
      <c r="AG31" s="16" t="s">
        <v>340</v>
      </c>
      <c r="AH31" s="14" t="s">
        <v>341</v>
      </c>
      <c r="AI31" s="43">
        <f>SQRT(AL31*AK31)</f>
        <v>0.24291081020133315</v>
      </c>
      <c r="AJ31" s="18">
        <f t="shared" si="29"/>
        <v>0.23490276151337711</v>
      </c>
      <c r="AK31" s="14">
        <f>0.058/(1-0.058)</f>
        <v>6.1571125265392788E-2</v>
      </c>
      <c r="AL31" s="14">
        <f>(H31-1)/H31</f>
        <v>0.95833333333333337</v>
      </c>
      <c r="AM31" s="1">
        <f t="shared" si="5"/>
        <v>8.3908117785068861E-2</v>
      </c>
      <c r="AN31" s="14"/>
    </row>
    <row r="32" spans="1:40" ht="191.25" x14ac:dyDescent="0.35">
      <c r="A32" s="14">
        <v>15</v>
      </c>
      <c r="B32" s="14" t="s">
        <v>330</v>
      </c>
      <c r="C32" s="14"/>
      <c r="D32" s="14"/>
      <c r="E32" s="14"/>
      <c r="F32" s="14"/>
      <c r="G32" s="14"/>
      <c r="H32" s="14">
        <v>24</v>
      </c>
      <c r="I32" s="14" t="s">
        <v>331</v>
      </c>
      <c r="J32" s="14"/>
      <c r="K32" s="14" t="s">
        <v>332</v>
      </c>
      <c r="L32" s="14">
        <v>24</v>
      </c>
      <c r="M32" s="14"/>
      <c r="N32" s="14"/>
      <c r="O32" s="14"/>
      <c r="P32" s="14" t="s">
        <v>70</v>
      </c>
      <c r="Q32" s="14" t="s">
        <v>41</v>
      </c>
      <c r="R32" s="14" t="s">
        <v>333</v>
      </c>
      <c r="S32" s="14" t="s">
        <v>334</v>
      </c>
      <c r="T32" s="14" t="s">
        <v>334</v>
      </c>
      <c r="U32" s="14" t="s">
        <v>342</v>
      </c>
      <c r="V32" s="14" t="s">
        <v>336</v>
      </c>
      <c r="W32" s="14" t="s">
        <v>337</v>
      </c>
      <c r="X32" s="14" t="s">
        <v>338</v>
      </c>
      <c r="Y32" s="14" t="s">
        <v>38</v>
      </c>
      <c r="Z32" s="14" t="s">
        <v>38</v>
      </c>
      <c r="AA32" s="14" t="s">
        <v>38</v>
      </c>
      <c r="AB32" s="14" t="s">
        <v>38</v>
      </c>
      <c r="AC32" s="14" t="s">
        <v>181</v>
      </c>
      <c r="AD32" s="14">
        <v>0.23</v>
      </c>
      <c r="AE32" s="14" t="s">
        <v>38</v>
      </c>
      <c r="AF32" s="20">
        <v>0.63500000000000001</v>
      </c>
      <c r="AG32" s="14"/>
      <c r="AH32" s="14" t="s">
        <v>343</v>
      </c>
      <c r="AI32" s="43">
        <f>SQRT(AL32*AK32)</f>
        <v>9.838767544837454E-2</v>
      </c>
      <c r="AJ32" s="18">
        <f t="shared" ref="AJ32" si="30">AI32*(1-(3/(4*(L32-1)-1)))</f>
        <v>9.5144125708318233E-2</v>
      </c>
      <c r="AK32" s="14">
        <f>0.01/(1-0.01)</f>
        <v>1.0101010101010102E-2</v>
      </c>
      <c r="AL32" s="14">
        <f>(H32-1)/H32</f>
        <v>0.95833333333333337</v>
      </c>
      <c r="AM32" s="1">
        <f t="shared" si="5"/>
        <v>8.3427629215174992E-2</v>
      </c>
      <c r="AN32" s="14"/>
    </row>
    <row r="33" spans="1:40" ht="191.25" x14ac:dyDescent="0.35">
      <c r="A33" s="14">
        <v>15</v>
      </c>
      <c r="B33" s="14" t="s">
        <v>330</v>
      </c>
      <c r="C33" s="14"/>
      <c r="D33" s="14"/>
      <c r="E33" s="14"/>
      <c r="F33" s="14"/>
      <c r="G33" s="14"/>
      <c r="H33" s="14">
        <v>24</v>
      </c>
      <c r="I33" s="14" t="s">
        <v>331</v>
      </c>
      <c r="J33" s="14"/>
      <c r="K33" s="14" t="s">
        <v>332</v>
      </c>
      <c r="L33" s="14">
        <v>24</v>
      </c>
      <c r="M33" s="14"/>
      <c r="N33" s="14"/>
      <c r="O33" s="14"/>
      <c r="P33" s="14" t="s">
        <v>70</v>
      </c>
      <c r="Q33" s="14" t="s">
        <v>41</v>
      </c>
      <c r="R33" s="14" t="s">
        <v>333</v>
      </c>
      <c r="S33" s="14" t="s">
        <v>334</v>
      </c>
      <c r="T33" s="14" t="s">
        <v>334</v>
      </c>
      <c r="U33" s="14" t="s">
        <v>344</v>
      </c>
      <c r="V33" s="14" t="s">
        <v>336</v>
      </c>
      <c r="W33" s="14" t="s">
        <v>337</v>
      </c>
      <c r="X33" s="14" t="s">
        <v>338</v>
      </c>
      <c r="Y33" s="14" t="s">
        <v>38</v>
      </c>
      <c r="Z33" s="14" t="s">
        <v>38</v>
      </c>
      <c r="AA33" s="14" t="s">
        <v>38</v>
      </c>
      <c r="AB33" s="14" t="s">
        <v>38</v>
      </c>
      <c r="AC33" s="14" t="s">
        <v>181</v>
      </c>
      <c r="AD33" s="14">
        <v>0.1</v>
      </c>
      <c r="AE33" s="14" t="s">
        <v>38</v>
      </c>
      <c r="AF33" s="20" t="s">
        <v>346</v>
      </c>
      <c r="AG33" s="14"/>
      <c r="AH33" s="14" t="s">
        <v>347</v>
      </c>
      <c r="AI33" s="43">
        <f>SQRT(AL33*AK33)</f>
        <v>6.2038119300302848E-2</v>
      </c>
      <c r="AJ33" s="18">
        <f t="shared" ref="AJ33" si="31">AI33*(1-(3/(4*(L33-1)-1)))</f>
        <v>5.9992906576117042E-2</v>
      </c>
      <c r="AK33" s="14">
        <f>0.004/(1-0.004)</f>
        <v>4.0160642570281129E-3</v>
      </c>
      <c r="AL33" s="14">
        <f>(H33-1)/H33</f>
        <v>0.95833333333333337</v>
      </c>
      <c r="AM33" s="1">
        <f t="shared" si="5"/>
        <v>8.3370824467077609E-2</v>
      </c>
      <c r="AN33" s="14"/>
    </row>
    <row r="34" spans="1:40" ht="409.5" x14ac:dyDescent="0.35">
      <c r="A34" s="14">
        <v>16</v>
      </c>
      <c r="B34" s="14" t="s">
        <v>348</v>
      </c>
      <c r="C34" s="14"/>
      <c r="D34" s="14"/>
      <c r="E34" s="14"/>
      <c r="F34" s="14"/>
      <c r="G34" s="14"/>
      <c r="H34" s="14">
        <v>30</v>
      </c>
      <c r="I34" s="14" t="s">
        <v>349</v>
      </c>
      <c r="J34" s="14"/>
      <c r="K34" s="14" t="s">
        <v>350</v>
      </c>
      <c r="L34" s="14">
        <v>30</v>
      </c>
      <c r="M34" s="14"/>
      <c r="N34" s="14"/>
      <c r="O34" s="14"/>
      <c r="P34" s="14" t="s">
        <v>70</v>
      </c>
      <c r="Q34" s="14" t="s">
        <v>41</v>
      </c>
      <c r="R34" s="14" t="s">
        <v>264</v>
      </c>
      <c r="S34" s="14" t="s">
        <v>351</v>
      </c>
      <c r="T34" s="14" t="s">
        <v>38</v>
      </c>
      <c r="U34" s="14" t="s">
        <v>342</v>
      </c>
      <c r="V34" s="14" t="s">
        <v>352</v>
      </c>
      <c r="W34" s="14" t="s">
        <v>353</v>
      </c>
      <c r="X34" s="14" t="s">
        <v>354</v>
      </c>
      <c r="Y34" s="14" t="s">
        <v>355</v>
      </c>
      <c r="Z34" s="14" t="s">
        <v>356</v>
      </c>
      <c r="AA34" s="14" t="s">
        <v>357</v>
      </c>
      <c r="AB34" s="14" t="s">
        <v>358</v>
      </c>
      <c r="AC34" s="14" t="s">
        <v>80</v>
      </c>
      <c r="AD34" s="20">
        <v>-2.1970000000000001</v>
      </c>
      <c r="AE34" s="14">
        <v>28</v>
      </c>
      <c r="AF34" s="20">
        <v>3.5999999999999997E-2</v>
      </c>
      <c r="AG34" s="16" t="s">
        <v>359</v>
      </c>
      <c r="AH34" s="14" t="s">
        <v>93</v>
      </c>
      <c r="AI34" s="48">
        <f>AD34/SQRT(L34)</f>
        <v>-0.40111548627961668</v>
      </c>
      <c r="AJ34" s="18">
        <f t="shared" ref="AJ34" si="32">AI34*(1-(3/(4*(L34-1)-1)))</f>
        <v>-0.39065160402884408</v>
      </c>
      <c r="AK34" s="14"/>
      <c r="AL34" s="14"/>
      <c r="AM34" s="1">
        <f t="shared" si="5"/>
        <v>6.7938405631085899E-2</v>
      </c>
      <c r="AN34" s="14"/>
    </row>
    <row r="35" spans="1:40" ht="178.5" x14ac:dyDescent="0.35">
      <c r="A35" s="14">
        <v>16</v>
      </c>
      <c r="B35" s="14" t="s">
        <v>348</v>
      </c>
      <c r="C35" s="14"/>
      <c r="D35" s="14"/>
      <c r="E35" s="14"/>
      <c r="F35" s="14"/>
      <c r="G35" s="14"/>
      <c r="H35" s="14">
        <v>30</v>
      </c>
      <c r="I35" s="14" t="s">
        <v>349</v>
      </c>
      <c r="J35" s="14"/>
      <c r="K35" s="14" t="s">
        <v>350</v>
      </c>
      <c r="L35" s="14">
        <v>30</v>
      </c>
      <c r="M35" s="14"/>
      <c r="N35" s="14"/>
      <c r="O35" s="14"/>
      <c r="P35" s="14" t="s">
        <v>70</v>
      </c>
      <c r="Q35" s="14" t="s">
        <v>41</v>
      </c>
      <c r="R35" s="14" t="s">
        <v>264</v>
      </c>
      <c r="S35" s="14" t="s">
        <v>351</v>
      </c>
      <c r="T35" s="14" t="s">
        <v>38</v>
      </c>
      <c r="U35" s="14" t="s">
        <v>360</v>
      </c>
      <c r="V35" s="14" t="s">
        <v>352</v>
      </c>
      <c r="W35" s="14" t="s">
        <v>353</v>
      </c>
      <c r="X35" s="14" t="s">
        <v>354</v>
      </c>
      <c r="Y35" s="14" t="s">
        <v>361</v>
      </c>
      <c r="Z35" s="14" t="s">
        <v>362</v>
      </c>
      <c r="AA35" s="14" t="s">
        <v>357</v>
      </c>
      <c r="AB35" s="14">
        <v>2.2000000000000002</v>
      </c>
      <c r="AC35" s="14" t="s">
        <v>80</v>
      </c>
      <c r="AD35" s="20">
        <v>-2.919</v>
      </c>
      <c r="AE35" s="14">
        <v>28</v>
      </c>
      <c r="AF35" s="20">
        <v>7.0000000000000001E-3</v>
      </c>
      <c r="AG35" s="14"/>
      <c r="AH35" s="14" t="s">
        <v>93</v>
      </c>
      <c r="AI35" s="48">
        <f>AD35/SQRT(L35)</f>
        <v>-0.53293404845252668</v>
      </c>
      <c r="AJ35" s="18">
        <f t="shared" ref="AJ35" si="33">AI35*(1-(3/(4*(L35-1)-1)))</f>
        <v>-0.51903142110159117</v>
      </c>
      <c r="AK35" s="14"/>
      <c r="AL35" s="14"/>
      <c r="AM35" s="1">
        <f t="shared" si="5"/>
        <v>6.8911613467422805E-2</v>
      </c>
      <c r="AN35" s="14"/>
    </row>
    <row r="36" spans="1:40" ht="178.5" x14ac:dyDescent="0.35">
      <c r="A36" s="14">
        <v>16</v>
      </c>
      <c r="B36" s="14" t="s">
        <v>348</v>
      </c>
      <c r="C36" s="14"/>
      <c r="D36" s="14"/>
      <c r="E36" s="14"/>
      <c r="F36" s="14"/>
      <c r="G36" s="14"/>
      <c r="H36" s="14">
        <v>30</v>
      </c>
      <c r="I36" s="14" t="s">
        <v>349</v>
      </c>
      <c r="J36" s="14"/>
      <c r="K36" s="14" t="s">
        <v>350</v>
      </c>
      <c r="L36" s="14">
        <v>30</v>
      </c>
      <c r="M36" s="14"/>
      <c r="N36" s="14"/>
      <c r="O36" s="14"/>
      <c r="P36" s="14" t="s">
        <v>70</v>
      </c>
      <c r="Q36" s="14" t="s">
        <v>41</v>
      </c>
      <c r="R36" s="14" t="s">
        <v>264</v>
      </c>
      <c r="S36" s="14" t="s">
        <v>351</v>
      </c>
      <c r="T36" s="14" t="s">
        <v>38</v>
      </c>
      <c r="U36" s="14" t="s">
        <v>363</v>
      </c>
      <c r="V36" s="14" t="s">
        <v>352</v>
      </c>
      <c r="W36" s="14" t="s">
        <v>353</v>
      </c>
      <c r="X36" s="14" t="s">
        <v>354</v>
      </c>
      <c r="Y36" s="14" t="s">
        <v>361</v>
      </c>
      <c r="Z36" s="14" t="s">
        <v>362</v>
      </c>
      <c r="AA36" s="14" t="s">
        <v>357</v>
      </c>
      <c r="AB36" s="14" t="s">
        <v>358</v>
      </c>
      <c r="AC36" s="14" t="s">
        <v>80</v>
      </c>
      <c r="AD36" s="20">
        <v>0.45100000000000001</v>
      </c>
      <c r="AE36" s="14">
        <v>28</v>
      </c>
      <c r="AF36" s="20">
        <v>0.65600000000000003</v>
      </c>
      <c r="AG36" s="14"/>
      <c r="AH36" s="14" t="s">
        <v>93</v>
      </c>
      <c r="AI36" s="48">
        <f>AD36/SQRT(L36)</f>
        <v>8.234095781160998E-2</v>
      </c>
      <c r="AJ36" s="18">
        <f t="shared" ref="AJ36:AJ40" si="34">AI36*(1-(3/(4*(L36-1)-1)))</f>
        <v>8.0192932825220165E-2</v>
      </c>
      <c r="AK36" s="14"/>
      <c r="AL36" s="14"/>
      <c r="AM36" s="1">
        <f t="shared" si="5"/>
        <v>6.6720257553959245E-2</v>
      </c>
      <c r="AN36" s="14"/>
    </row>
    <row r="37" spans="1:40" ht="76.5" x14ac:dyDescent="0.35">
      <c r="A37" s="14">
        <v>16</v>
      </c>
      <c r="B37" s="14" t="s">
        <v>348</v>
      </c>
      <c r="C37" s="14"/>
      <c r="D37" s="14"/>
      <c r="E37" s="14"/>
      <c r="F37" s="14"/>
      <c r="G37" s="14"/>
      <c r="H37" s="14">
        <v>30</v>
      </c>
      <c r="I37" s="14" t="s">
        <v>349</v>
      </c>
      <c r="J37" s="14"/>
      <c r="K37" s="14" t="s">
        <v>350</v>
      </c>
      <c r="L37" s="14">
        <v>30</v>
      </c>
      <c r="M37" s="14"/>
      <c r="N37" s="14"/>
      <c r="O37" s="14"/>
      <c r="P37" s="14" t="s">
        <v>70</v>
      </c>
      <c r="Q37" s="14" t="s">
        <v>41</v>
      </c>
      <c r="R37" s="14" t="s">
        <v>264</v>
      </c>
      <c r="S37" s="14" t="s">
        <v>364</v>
      </c>
      <c r="T37" s="14" t="s">
        <v>364</v>
      </c>
      <c r="U37" s="14" t="s">
        <v>365</v>
      </c>
      <c r="V37" s="14" t="s">
        <v>45</v>
      </c>
      <c r="W37" s="14" t="s">
        <v>366</v>
      </c>
      <c r="X37" s="14" t="s">
        <v>367</v>
      </c>
      <c r="Y37" s="14" t="s">
        <v>368</v>
      </c>
      <c r="Z37" s="14" t="s">
        <v>369</v>
      </c>
      <c r="AA37" s="14" t="s">
        <v>370</v>
      </c>
      <c r="AB37" s="14">
        <v>22.36</v>
      </c>
      <c r="AC37" s="14" t="s">
        <v>80</v>
      </c>
      <c r="AD37" s="20" t="s">
        <v>38</v>
      </c>
      <c r="AE37" s="14">
        <v>28</v>
      </c>
      <c r="AF37" s="20" t="s">
        <v>371</v>
      </c>
      <c r="AG37" s="14"/>
      <c r="AH37" s="14" t="s">
        <v>93</v>
      </c>
      <c r="AI37" s="46">
        <f t="shared" ref="AI37:AI39" si="35">(AA37-Y37)/AK37</f>
        <v>1.71051949416712E-2</v>
      </c>
      <c r="AJ37" s="5">
        <f t="shared" si="34"/>
        <v>1.6658972464931952E-2</v>
      </c>
      <c r="AK37" s="1">
        <f t="shared" ref="AK37:AK39" si="36">SQRT(((L37-1)*Z37^2+(L37-1)*AB37^2)/(2*L37-2))</f>
        <v>22.215473211255258</v>
      </c>
      <c r="AL37" s="14"/>
      <c r="AM37" s="1">
        <f t="shared" si="5"/>
        <v>6.6668979344696566E-2</v>
      </c>
      <c r="AN37" s="14"/>
    </row>
    <row r="38" spans="1:40" ht="76.5" x14ac:dyDescent="0.35">
      <c r="A38" s="14">
        <v>16</v>
      </c>
      <c r="B38" s="14" t="s">
        <v>348</v>
      </c>
      <c r="C38" s="14"/>
      <c r="D38" s="14"/>
      <c r="E38" s="14"/>
      <c r="F38" s="14"/>
      <c r="G38" s="14"/>
      <c r="H38" s="14">
        <v>30</v>
      </c>
      <c r="I38" s="14" t="s">
        <v>349</v>
      </c>
      <c r="J38" s="14"/>
      <c r="K38" s="14" t="s">
        <v>350</v>
      </c>
      <c r="L38" s="14">
        <v>30</v>
      </c>
      <c r="M38" s="14"/>
      <c r="N38" s="14"/>
      <c r="O38" s="14"/>
      <c r="P38" s="14" t="s">
        <v>70</v>
      </c>
      <c r="Q38" s="14" t="s">
        <v>41</v>
      </c>
      <c r="R38" s="14" t="s">
        <v>264</v>
      </c>
      <c r="S38" s="14" t="s">
        <v>364</v>
      </c>
      <c r="T38" s="14" t="s">
        <v>364</v>
      </c>
      <c r="U38" s="14" t="s">
        <v>372</v>
      </c>
      <c r="V38" s="14" t="s">
        <v>45</v>
      </c>
      <c r="W38" s="14" t="s">
        <v>366</v>
      </c>
      <c r="X38" s="14" t="s">
        <v>367</v>
      </c>
      <c r="Y38" s="14" t="s">
        <v>373</v>
      </c>
      <c r="Z38" s="14" t="s">
        <v>374</v>
      </c>
      <c r="AA38" s="14" t="s">
        <v>370</v>
      </c>
      <c r="AB38" s="14" t="s">
        <v>375</v>
      </c>
      <c r="AC38" s="14" t="s">
        <v>80</v>
      </c>
      <c r="AD38" s="20" t="s">
        <v>38</v>
      </c>
      <c r="AE38" s="14">
        <v>28</v>
      </c>
      <c r="AF38" s="20" t="s">
        <v>371</v>
      </c>
      <c r="AG38" s="14"/>
      <c r="AH38" s="14" t="s">
        <v>93</v>
      </c>
      <c r="AI38" s="46">
        <f t="shared" si="35"/>
        <v>-4.2507612583413047E-2</v>
      </c>
      <c r="AJ38" s="5">
        <f t="shared" si="34"/>
        <v>-4.1398718342106622E-2</v>
      </c>
      <c r="AK38" s="1">
        <f t="shared" si="36"/>
        <v>25.642465755071218</v>
      </c>
      <c r="AL38" s="14"/>
      <c r="AM38" s="1">
        <f t="shared" si="5"/>
        <v>6.6680948782336408E-2</v>
      </c>
      <c r="AN38" s="14"/>
    </row>
    <row r="39" spans="1:40" ht="76.5" x14ac:dyDescent="0.35">
      <c r="A39" s="14">
        <v>16</v>
      </c>
      <c r="B39" s="14" t="s">
        <v>348</v>
      </c>
      <c r="C39" s="14"/>
      <c r="D39" s="14"/>
      <c r="E39" s="14"/>
      <c r="F39" s="14"/>
      <c r="G39" s="14"/>
      <c r="H39" s="14">
        <v>30</v>
      </c>
      <c r="I39" s="14" t="s">
        <v>349</v>
      </c>
      <c r="J39" s="14"/>
      <c r="K39" s="14" t="s">
        <v>350</v>
      </c>
      <c r="L39" s="14">
        <v>30</v>
      </c>
      <c r="M39" s="14"/>
      <c r="N39" s="14"/>
      <c r="O39" s="14"/>
      <c r="P39" s="14" t="s">
        <v>70</v>
      </c>
      <c r="Q39" s="14" t="s">
        <v>41</v>
      </c>
      <c r="R39" s="14" t="s">
        <v>264</v>
      </c>
      <c r="S39" s="14" t="s">
        <v>364</v>
      </c>
      <c r="T39" s="14" t="s">
        <v>364</v>
      </c>
      <c r="U39" s="14" t="s">
        <v>376</v>
      </c>
      <c r="V39" s="14" t="s">
        <v>45</v>
      </c>
      <c r="W39" s="14" t="s">
        <v>366</v>
      </c>
      <c r="X39" s="14" t="s">
        <v>367</v>
      </c>
      <c r="Y39" s="14" t="s">
        <v>373</v>
      </c>
      <c r="Z39" s="14" t="s">
        <v>374</v>
      </c>
      <c r="AA39" s="14" t="s">
        <v>368</v>
      </c>
      <c r="AB39" s="14" t="s">
        <v>369</v>
      </c>
      <c r="AC39" s="14" t="s">
        <v>80</v>
      </c>
      <c r="AD39" s="20" t="s">
        <v>38</v>
      </c>
      <c r="AE39" s="14">
        <v>28</v>
      </c>
      <c r="AF39" s="20" t="s">
        <v>371</v>
      </c>
      <c r="AG39" s="14"/>
      <c r="AH39" s="14" t="s">
        <v>93</v>
      </c>
      <c r="AI39" s="46">
        <f t="shared" si="35"/>
        <v>-5.7609696620605291E-2</v>
      </c>
      <c r="AJ39" s="5">
        <f t="shared" si="34"/>
        <v>-5.6106834969632979E-2</v>
      </c>
      <c r="AK39" s="1">
        <f t="shared" si="36"/>
        <v>25.516537774549278</v>
      </c>
      <c r="AL39" s="14"/>
      <c r="AM39" s="1">
        <f t="shared" si="5"/>
        <v>6.6692899807752573E-2</v>
      </c>
      <c r="AN39" s="14"/>
    </row>
    <row r="40" spans="1:40" ht="12.75" x14ac:dyDescent="0.35">
      <c r="A40" s="21">
        <v>18</v>
      </c>
      <c r="B40" s="21" t="s">
        <v>377</v>
      </c>
      <c r="C40" s="21"/>
      <c r="D40" s="21"/>
      <c r="E40" s="21"/>
      <c r="F40" s="21"/>
      <c r="G40" s="21"/>
      <c r="H40" s="21">
        <v>48</v>
      </c>
      <c r="I40" s="21" t="s">
        <v>38</v>
      </c>
      <c r="J40" s="21" t="s">
        <v>378</v>
      </c>
      <c r="K40" s="21">
        <v>75</v>
      </c>
      <c r="L40" s="21">
        <v>48</v>
      </c>
      <c r="M40" s="21"/>
      <c r="N40" s="21"/>
      <c r="O40" s="21"/>
      <c r="P40" s="21" t="s">
        <v>379</v>
      </c>
      <c r="Q40" s="21" t="s">
        <v>41</v>
      </c>
      <c r="R40" s="21" t="s">
        <v>380</v>
      </c>
      <c r="S40" s="21" t="s">
        <v>381</v>
      </c>
      <c r="T40" s="21" t="s">
        <v>382</v>
      </c>
      <c r="U40" s="21" t="s">
        <v>383</v>
      </c>
      <c r="V40" s="21" t="s">
        <v>384</v>
      </c>
      <c r="W40" s="21" t="s">
        <v>38</v>
      </c>
      <c r="X40" s="21" t="s">
        <v>385</v>
      </c>
      <c r="Y40" s="22" t="s">
        <v>38</v>
      </c>
      <c r="Z40" s="22" t="s">
        <v>38</v>
      </c>
      <c r="AA40" s="22" t="s">
        <v>38</v>
      </c>
      <c r="AB40" s="22" t="s">
        <v>38</v>
      </c>
      <c r="AC40" s="21" t="s">
        <v>181</v>
      </c>
      <c r="AD40" s="23">
        <v>0.94</v>
      </c>
      <c r="AE40" s="24" t="s">
        <v>386</v>
      </c>
      <c r="AF40" s="25">
        <v>0.39</v>
      </c>
      <c r="AG40" s="26" t="s">
        <v>387</v>
      </c>
      <c r="AH40" s="21"/>
      <c r="AI40" s="48">
        <f>SQRT(AD40)/SQRT(L40)</f>
        <v>0.13994046353122222</v>
      </c>
      <c r="AJ40" s="18">
        <f t="shared" si="34"/>
        <v>0.13769542935692455</v>
      </c>
      <c r="AK40" s="27"/>
      <c r="AL40" s="21"/>
      <c r="AM40" s="1">
        <f t="shared" si="5"/>
        <v>4.1765416829509308E-2</v>
      </c>
      <c r="AN40" s="21"/>
    </row>
    <row r="41" spans="1:40" ht="12.75" x14ac:dyDescent="0.35">
      <c r="A41" s="21">
        <v>18</v>
      </c>
      <c r="B41" s="21" t="s">
        <v>377</v>
      </c>
      <c r="C41" s="21"/>
      <c r="D41" s="21"/>
      <c r="E41" s="21"/>
      <c r="F41" s="21"/>
      <c r="G41" s="21"/>
      <c r="H41" s="21">
        <v>48</v>
      </c>
      <c r="I41" s="21" t="s">
        <v>38</v>
      </c>
      <c r="J41" s="21" t="s">
        <v>378</v>
      </c>
      <c r="K41" s="21">
        <v>75</v>
      </c>
      <c r="L41" s="21">
        <v>48</v>
      </c>
      <c r="M41" s="21"/>
      <c r="N41" s="21"/>
      <c r="O41" s="21"/>
      <c r="P41" s="21" t="s">
        <v>379</v>
      </c>
      <c r="Q41" s="21" t="s">
        <v>41</v>
      </c>
      <c r="R41" s="21" t="s">
        <v>380</v>
      </c>
      <c r="S41" s="21" t="s">
        <v>388</v>
      </c>
      <c r="T41" s="21" t="s">
        <v>389</v>
      </c>
      <c r="U41" s="21" t="s">
        <v>390</v>
      </c>
      <c r="V41" s="21" t="s">
        <v>45</v>
      </c>
      <c r="W41" s="21" t="s">
        <v>391</v>
      </c>
      <c r="X41" s="21" t="s">
        <v>392</v>
      </c>
      <c r="Y41" s="22" t="s">
        <v>38</v>
      </c>
      <c r="Z41" s="22" t="s">
        <v>38</v>
      </c>
      <c r="AA41" s="22" t="s">
        <v>38</v>
      </c>
      <c r="AB41" s="22" t="s">
        <v>38</v>
      </c>
      <c r="AC41" s="21" t="s">
        <v>181</v>
      </c>
      <c r="AD41" s="23">
        <v>3.46</v>
      </c>
      <c r="AE41" s="24" t="s">
        <v>386</v>
      </c>
      <c r="AF41" s="25" t="s">
        <v>393</v>
      </c>
      <c r="AG41" s="21"/>
      <c r="AH41" s="21"/>
      <c r="AI41" s="48">
        <f>SQRT(AD41)/SQRT(L41)</f>
        <v>0.2684833948931169</v>
      </c>
      <c r="AJ41" s="18">
        <f t="shared" ref="AJ41:AJ47" si="37">AI41*(1-(3/(4*(L41-1)-1)))</f>
        <v>0.26417617465418991</v>
      </c>
      <c r="AK41" s="27"/>
      <c r="AL41" s="21"/>
      <c r="AM41" s="1">
        <f t="shared" si="5"/>
        <v>4.2030151308619375E-2</v>
      </c>
      <c r="AN41" s="21"/>
    </row>
    <row r="42" spans="1:40" ht="127.5" x14ac:dyDescent="0.35">
      <c r="A42" s="21">
        <v>18</v>
      </c>
      <c r="B42" s="21" t="s">
        <v>377</v>
      </c>
      <c r="C42" s="21"/>
      <c r="D42" s="21"/>
      <c r="E42" s="21"/>
      <c r="F42" s="21"/>
      <c r="G42" s="21"/>
      <c r="H42" s="21">
        <v>48</v>
      </c>
      <c r="I42" s="21" t="s">
        <v>38</v>
      </c>
      <c r="J42" s="21" t="s">
        <v>378</v>
      </c>
      <c r="K42" s="21">
        <v>75</v>
      </c>
      <c r="L42" s="21">
        <v>48</v>
      </c>
      <c r="M42" s="21"/>
      <c r="N42" s="21"/>
      <c r="O42" s="21"/>
      <c r="P42" s="21" t="s">
        <v>379</v>
      </c>
      <c r="Q42" s="21" t="s">
        <v>41</v>
      </c>
      <c r="R42" s="21" t="s">
        <v>380</v>
      </c>
      <c r="S42" s="21" t="s">
        <v>388</v>
      </c>
      <c r="T42" s="21" t="s">
        <v>389</v>
      </c>
      <c r="U42" s="14" t="s">
        <v>394</v>
      </c>
      <c r="V42" s="21" t="s">
        <v>45</v>
      </c>
      <c r="W42" s="21" t="s">
        <v>395</v>
      </c>
      <c r="X42" s="21" t="s">
        <v>396</v>
      </c>
      <c r="Y42" s="22"/>
      <c r="Z42" s="22" t="s">
        <v>38</v>
      </c>
      <c r="AA42" s="22" t="s">
        <v>38</v>
      </c>
      <c r="AB42" s="22" t="s">
        <v>38</v>
      </c>
      <c r="AC42" s="21" t="s">
        <v>181</v>
      </c>
      <c r="AD42" s="23">
        <v>2.99</v>
      </c>
      <c r="AE42" s="24" t="s">
        <v>397</v>
      </c>
      <c r="AF42" s="27">
        <v>5.0999999999999997E-2</v>
      </c>
      <c r="AG42" s="26"/>
      <c r="AH42" s="21"/>
      <c r="AI42" s="48">
        <f>SQRT(AD42)/SQRT(L42)</f>
        <v>0.24958298553119895</v>
      </c>
      <c r="AJ42" s="18">
        <f t="shared" si="37"/>
        <v>0.24557898041572518</v>
      </c>
      <c r="AK42" s="27"/>
      <c r="AL42" s="21"/>
      <c r="AM42" s="1">
        <f t="shared" si="5"/>
        <v>4.1980776227198056E-2</v>
      </c>
      <c r="AN42" s="21"/>
    </row>
    <row r="43" spans="1:40" ht="12.75" x14ac:dyDescent="0.35">
      <c r="A43" s="21">
        <v>19</v>
      </c>
      <c r="B43" s="21" t="s">
        <v>398</v>
      </c>
      <c r="C43" s="21"/>
      <c r="D43" s="21"/>
      <c r="E43" s="21"/>
      <c r="F43" s="21"/>
      <c r="G43" s="21"/>
      <c r="H43" s="21">
        <v>25</v>
      </c>
      <c r="I43" s="21" t="s">
        <v>399</v>
      </c>
      <c r="J43" s="21"/>
      <c r="K43" s="21">
        <v>52</v>
      </c>
      <c r="L43" s="21">
        <v>25</v>
      </c>
      <c r="M43" s="21"/>
      <c r="N43" s="21"/>
      <c r="O43" s="21"/>
      <c r="P43" s="21" t="s">
        <v>400</v>
      </c>
      <c r="Q43" s="21" t="s">
        <v>41</v>
      </c>
      <c r="R43" s="21" t="s">
        <v>333</v>
      </c>
      <c r="S43" s="21" t="s">
        <v>401</v>
      </c>
      <c r="T43" s="21" t="s">
        <v>402</v>
      </c>
      <c r="U43" s="21" t="s">
        <v>403</v>
      </c>
      <c r="V43" s="21" t="s">
        <v>45</v>
      </c>
      <c r="W43" s="21" t="s">
        <v>404</v>
      </c>
      <c r="X43" s="21" t="s">
        <v>367</v>
      </c>
      <c r="Y43" s="22" t="s">
        <v>38</v>
      </c>
      <c r="Z43" s="22" t="s">
        <v>38</v>
      </c>
      <c r="AA43" s="22" t="s">
        <v>38</v>
      </c>
      <c r="AB43" s="22" t="s">
        <v>38</v>
      </c>
      <c r="AC43" s="21" t="s">
        <v>181</v>
      </c>
      <c r="AD43" s="23">
        <v>0</v>
      </c>
      <c r="AE43" s="24" t="s">
        <v>405</v>
      </c>
      <c r="AF43" s="20">
        <v>0.95599999999999996</v>
      </c>
      <c r="AG43" s="26" t="s">
        <v>406</v>
      </c>
      <c r="AH43" s="21"/>
      <c r="AI43" s="48">
        <f>SQRT(AD43)/SQRT(L43)</f>
        <v>0</v>
      </c>
      <c r="AJ43" s="18">
        <f t="shared" si="37"/>
        <v>0</v>
      </c>
      <c r="AK43" s="27"/>
      <c r="AL43" s="21"/>
      <c r="AM43" s="1">
        <f t="shared" si="5"/>
        <v>0.08</v>
      </c>
      <c r="AN43" s="21"/>
    </row>
    <row r="44" spans="1:40" ht="114.75" x14ac:dyDescent="0.35">
      <c r="A44" s="14">
        <v>19</v>
      </c>
      <c r="B44" s="14" t="s">
        <v>398</v>
      </c>
      <c r="C44" s="14"/>
      <c r="D44" s="14"/>
      <c r="E44" s="14"/>
      <c r="F44" s="14"/>
      <c r="G44" s="14"/>
      <c r="H44" s="14">
        <v>25</v>
      </c>
      <c r="I44" s="14" t="s">
        <v>399</v>
      </c>
      <c r="J44" s="14"/>
      <c r="K44" s="14">
        <v>52</v>
      </c>
      <c r="L44" s="14">
        <v>25</v>
      </c>
      <c r="M44" s="14"/>
      <c r="N44" s="14"/>
      <c r="O44" s="14"/>
      <c r="P44" s="14" t="s">
        <v>400</v>
      </c>
      <c r="Q44" s="14" t="s">
        <v>41</v>
      </c>
      <c r="R44" s="14" t="s">
        <v>333</v>
      </c>
      <c r="S44" s="14" t="s">
        <v>401</v>
      </c>
      <c r="T44" s="14" t="s">
        <v>402</v>
      </c>
      <c r="U44" s="14" t="s">
        <v>407</v>
      </c>
      <c r="V44" s="14" t="s">
        <v>45</v>
      </c>
      <c r="W44" s="14" t="s">
        <v>408</v>
      </c>
      <c r="X44" s="14" t="s">
        <v>409</v>
      </c>
      <c r="Y44" s="20" t="s">
        <v>38</v>
      </c>
      <c r="Z44" s="20" t="s">
        <v>38</v>
      </c>
      <c r="AA44" s="20" t="s">
        <v>38</v>
      </c>
      <c r="AB44" s="20" t="s">
        <v>38</v>
      </c>
      <c r="AC44" s="14" t="s">
        <v>181</v>
      </c>
      <c r="AD44" s="28">
        <v>5.68</v>
      </c>
      <c r="AE44" s="29" t="s">
        <v>405</v>
      </c>
      <c r="AF44" s="20">
        <v>2.5000000000000001E-2</v>
      </c>
      <c r="AG44" s="16"/>
      <c r="AH44" s="14"/>
      <c r="AI44" s="48">
        <f>SQRT(AD44)/SQRT(L44)</f>
        <v>0.47665501151251932</v>
      </c>
      <c r="AJ44" s="18">
        <f t="shared" si="37"/>
        <v>0.46160274799107137</v>
      </c>
      <c r="AK44" s="30"/>
      <c r="AL44" s="14"/>
      <c r="AM44" s="1">
        <f t="shared" si="5"/>
        <v>8.2130770969529088E-2</v>
      </c>
      <c r="AN44" s="14"/>
    </row>
    <row r="45" spans="1:40" ht="409.5" x14ac:dyDescent="0.35">
      <c r="A45" s="5">
        <v>21</v>
      </c>
      <c r="B45" s="5" t="s">
        <v>434</v>
      </c>
      <c r="C45" s="5"/>
      <c r="D45" s="5"/>
      <c r="E45" s="5"/>
      <c r="F45" s="5"/>
      <c r="G45" s="5"/>
      <c r="H45" s="5">
        <v>20</v>
      </c>
      <c r="I45" s="5"/>
      <c r="J45" s="5" t="s">
        <v>435</v>
      </c>
      <c r="K45" s="5">
        <v>55</v>
      </c>
      <c r="L45" s="5">
        <v>20</v>
      </c>
      <c r="M45" s="5"/>
      <c r="N45" s="5"/>
      <c r="O45" s="5"/>
      <c r="P45" s="5" t="s">
        <v>436</v>
      </c>
      <c r="Q45" s="5" t="s">
        <v>41</v>
      </c>
      <c r="R45" s="5" t="s">
        <v>437</v>
      </c>
      <c r="S45" s="5" t="s">
        <v>438</v>
      </c>
      <c r="T45" s="5" t="s">
        <v>73</v>
      </c>
      <c r="U45" s="5" t="s">
        <v>439</v>
      </c>
      <c r="V45" s="5" t="s">
        <v>440</v>
      </c>
      <c r="W45" s="5" t="s">
        <v>441</v>
      </c>
      <c r="X45" s="5" t="s">
        <v>442</v>
      </c>
      <c r="Y45" s="10">
        <v>-1.7999999999999999E-2</v>
      </c>
      <c r="Z45" s="5" t="s">
        <v>443</v>
      </c>
      <c r="AA45" s="5" t="s">
        <v>444</v>
      </c>
      <c r="AB45" s="5" t="s">
        <v>445</v>
      </c>
      <c r="AC45" s="5" t="s">
        <v>80</v>
      </c>
      <c r="AD45" s="8" t="s">
        <v>38</v>
      </c>
      <c r="AE45" s="5" t="s">
        <v>38</v>
      </c>
      <c r="AF45" s="8" t="s">
        <v>446</v>
      </c>
      <c r="AG45" s="4" t="s">
        <v>447</v>
      </c>
      <c r="AH45" s="5" t="s">
        <v>93</v>
      </c>
      <c r="AI45" s="46">
        <f t="shared" ref="AI45:AI47" si="38">(AA45-Y45)/AK45</f>
        <v>-0.24087889386460151</v>
      </c>
      <c r="AJ45" s="5">
        <f t="shared" si="37"/>
        <v>-0.23124373811001744</v>
      </c>
      <c r="AK45" s="1">
        <f t="shared" ref="AK45:AK47" si="39">SQRT(((L45-1)*Z45^2+(L45-1)*AB45^2)/(2*L45-2))</f>
        <v>0.257390753524675</v>
      </c>
      <c r="AL45" s="5"/>
      <c r="AM45" s="1">
        <f t="shared" si="5"/>
        <v>0.10066842083018869</v>
      </c>
      <c r="AN45" s="5"/>
    </row>
    <row r="46" spans="1:40" ht="153" x14ac:dyDescent="0.35">
      <c r="A46" s="5">
        <v>21</v>
      </c>
      <c r="B46" s="5" t="s">
        <v>434</v>
      </c>
      <c r="C46" s="5"/>
      <c r="D46" s="5"/>
      <c r="E46" s="5"/>
      <c r="F46" s="5"/>
      <c r="G46" s="5"/>
      <c r="H46" s="5">
        <v>20</v>
      </c>
      <c r="I46" s="5"/>
      <c r="J46" s="5" t="s">
        <v>435</v>
      </c>
      <c r="K46" s="5">
        <v>55</v>
      </c>
      <c r="L46" s="5">
        <v>20</v>
      </c>
      <c r="M46" s="5"/>
      <c r="N46" s="5"/>
      <c r="O46" s="5"/>
      <c r="P46" s="5" t="s">
        <v>436</v>
      </c>
      <c r="Q46" s="5" t="s">
        <v>41</v>
      </c>
      <c r="R46" s="5" t="s">
        <v>437</v>
      </c>
      <c r="S46" s="5" t="s">
        <v>438</v>
      </c>
      <c r="T46" s="5" t="s">
        <v>73</v>
      </c>
      <c r="U46" s="5" t="s">
        <v>448</v>
      </c>
      <c r="V46" s="5" t="s">
        <v>440</v>
      </c>
      <c r="W46" s="5" t="s">
        <v>441</v>
      </c>
      <c r="X46" s="5" t="s">
        <v>442</v>
      </c>
      <c r="Y46" s="5" t="s">
        <v>449</v>
      </c>
      <c r="Z46" s="5" t="s">
        <v>450</v>
      </c>
      <c r="AA46" s="5" t="s">
        <v>451</v>
      </c>
      <c r="AB46" s="5" t="s">
        <v>452</v>
      </c>
      <c r="AC46" s="5" t="s">
        <v>80</v>
      </c>
      <c r="AD46" s="8" t="s">
        <v>38</v>
      </c>
      <c r="AE46" s="5" t="s">
        <v>38</v>
      </c>
      <c r="AF46" s="8" t="s">
        <v>453</v>
      </c>
      <c r="AG46" s="4"/>
      <c r="AH46" s="5" t="s">
        <v>93</v>
      </c>
      <c r="AI46" s="46">
        <f t="shared" si="38"/>
        <v>-0.22722961560641844</v>
      </c>
      <c r="AJ46" s="5">
        <f t="shared" si="37"/>
        <v>-0.21814043098216168</v>
      </c>
      <c r="AK46" s="1">
        <f t="shared" si="39"/>
        <v>0.61611687202997456</v>
      </c>
      <c r="AL46" s="5"/>
      <c r="AM46" s="1">
        <f t="shared" si="5"/>
        <v>0.10059481559536354</v>
      </c>
      <c r="AN46" s="5"/>
    </row>
    <row r="47" spans="1:40" ht="153" x14ac:dyDescent="0.35">
      <c r="A47" s="5">
        <v>21</v>
      </c>
      <c r="B47" s="5" t="s">
        <v>434</v>
      </c>
      <c r="C47" s="5"/>
      <c r="D47" s="5"/>
      <c r="E47" s="5"/>
      <c r="F47" s="5"/>
      <c r="G47" s="5"/>
      <c r="H47" s="5">
        <v>20</v>
      </c>
      <c r="I47" s="5"/>
      <c r="J47" s="5" t="s">
        <v>435</v>
      </c>
      <c r="K47" s="5">
        <v>55</v>
      </c>
      <c r="L47" s="5">
        <v>20</v>
      </c>
      <c r="M47" s="5"/>
      <c r="N47" s="5"/>
      <c r="O47" s="5"/>
      <c r="P47" s="5" t="s">
        <v>436</v>
      </c>
      <c r="Q47" s="5"/>
      <c r="R47" s="5" t="s">
        <v>437</v>
      </c>
      <c r="S47" s="5"/>
      <c r="T47" s="5"/>
      <c r="U47" s="5" t="s">
        <v>454</v>
      </c>
      <c r="V47" s="5" t="s">
        <v>455</v>
      </c>
      <c r="W47" s="5"/>
      <c r="X47" s="5" t="s">
        <v>456</v>
      </c>
      <c r="Y47" s="5">
        <v>-5.23</v>
      </c>
      <c r="Z47" s="5">
        <v>29</v>
      </c>
      <c r="AA47" s="5">
        <v>-9.39</v>
      </c>
      <c r="AB47" s="5">
        <v>18</v>
      </c>
      <c r="AC47" s="5" t="s">
        <v>80</v>
      </c>
      <c r="AD47" s="8" t="s">
        <v>38</v>
      </c>
      <c r="AE47" s="5" t="s">
        <v>38</v>
      </c>
      <c r="AF47" s="8">
        <v>0.28999999999999998</v>
      </c>
      <c r="AG47" s="4"/>
      <c r="AH47" s="5" t="s">
        <v>93</v>
      </c>
      <c r="AI47" s="46">
        <f t="shared" si="38"/>
        <v>-0.17236352441672867</v>
      </c>
      <c r="AJ47" s="5">
        <f t="shared" si="37"/>
        <v>-0.1654689834400595</v>
      </c>
      <c r="AK47" s="1">
        <f t="shared" si="39"/>
        <v>24.135036772294342</v>
      </c>
      <c r="AL47" s="5"/>
      <c r="AM47" s="1">
        <f t="shared" si="5"/>
        <v>0.10034224980600859</v>
      </c>
      <c r="AN47" s="5"/>
    </row>
    <row r="48" spans="1:40" ht="409.5" x14ac:dyDescent="0.35">
      <c r="A48" s="5">
        <v>23</v>
      </c>
      <c r="B48" s="5" t="s">
        <v>457</v>
      </c>
      <c r="C48" s="5"/>
      <c r="D48" s="5"/>
      <c r="E48" s="5"/>
      <c r="F48" s="5"/>
      <c r="G48" s="5"/>
      <c r="H48" s="5">
        <v>16</v>
      </c>
      <c r="I48" s="5">
        <v>25</v>
      </c>
      <c r="J48" s="5"/>
      <c r="K48" s="5">
        <v>50</v>
      </c>
      <c r="L48" s="5">
        <v>16</v>
      </c>
      <c r="M48" s="5"/>
      <c r="N48" s="5"/>
      <c r="O48" s="5"/>
      <c r="P48" s="5" t="s">
        <v>70</v>
      </c>
      <c r="Q48" s="5" t="s">
        <v>41</v>
      </c>
      <c r="R48" s="5" t="s">
        <v>458</v>
      </c>
      <c r="S48" s="5" t="s">
        <v>459</v>
      </c>
      <c r="T48" s="5" t="s">
        <v>177</v>
      </c>
      <c r="U48" s="5" t="s">
        <v>460</v>
      </c>
      <c r="V48" s="5" t="s">
        <v>45</v>
      </c>
      <c r="W48" s="5" t="s">
        <v>461</v>
      </c>
      <c r="X48" s="5" t="s">
        <v>442</v>
      </c>
      <c r="Y48" s="5" t="s">
        <v>38</v>
      </c>
      <c r="Z48" s="5" t="s">
        <v>38</v>
      </c>
      <c r="AA48" s="5" t="s">
        <v>38</v>
      </c>
      <c r="AB48" s="5" t="s">
        <v>38</v>
      </c>
      <c r="AC48" s="5" t="s">
        <v>462</v>
      </c>
      <c r="AD48" s="8">
        <v>1.101</v>
      </c>
      <c r="AE48" s="11">
        <v>45672</v>
      </c>
      <c r="AF48" s="8" t="s">
        <v>125</v>
      </c>
      <c r="AG48" s="4" t="s">
        <v>463</v>
      </c>
      <c r="AH48" s="5"/>
      <c r="AI48" s="48">
        <f>SQRT(AD48)/SQRT(L48)</f>
        <v>0.26232136779149351</v>
      </c>
      <c r="AJ48" s="18">
        <f t="shared" ref="AJ48:AJ49" si="40">AI48*(1-(3/(4*(L48-1)-1)))</f>
        <v>0.24898299315802774</v>
      </c>
      <c r="AK48" s="5"/>
      <c r="AL48" s="5"/>
      <c r="AM48" s="1">
        <f t="shared" si="5"/>
        <v>0.12596863329503016</v>
      </c>
      <c r="AN48" s="5"/>
    </row>
    <row r="49" spans="1:40" ht="229.5" x14ac:dyDescent="0.35">
      <c r="A49" s="5">
        <v>23</v>
      </c>
      <c r="B49" s="5" t="s">
        <v>457</v>
      </c>
      <c r="C49" s="5"/>
      <c r="D49" s="5"/>
      <c r="E49" s="5"/>
      <c r="F49" s="5"/>
      <c r="G49" s="5"/>
      <c r="H49" s="5">
        <v>20</v>
      </c>
      <c r="I49" s="5" t="s">
        <v>38</v>
      </c>
      <c r="J49" s="5"/>
      <c r="K49" s="5" t="s">
        <v>38</v>
      </c>
      <c r="L49" s="5">
        <v>20</v>
      </c>
      <c r="M49" s="5"/>
      <c r="N49" s="5"/>
      <c r="O49" s="5"/>
      <c r="P49" s="5" t="s">
        <v>70</v>
      </c>
      <c r="Q49" s="5" t="s">
        <v>41</v>
      </c>
      <c r="R49" s="5" t="s">
        <v>458</v>
      </c>
      <c r="S49" s="5" t="s">
        <v>464</v>
      </c>
      <c r="T49" s="5" t="s">
        <v>38</v>
      </c>
      <c r="U49" s="5" t="s">
        <v>465</v>
      </c>
      <c r="V49" s="5" t="s">
        <v>466</v>
      </c>
      <c r="W49" s="5" t="s">
        <v>467</v>
      </c>
      <c r="X49" s="5" t="s">
        <v>468</v>
      </c>
      <c r="Y49" s="5" t="s">
        <v>469</v>
      </c>
      <c r="Z49" s="5" t="s">
        <v>470</v>
      </c>
      <c r="AA49" s="5"/>
      <c r="AB49" s="5"/>
      <c r="AC49" s="5" t="s">
        <v>80</v>
      </c>
      <c r="AD49" s="8" t="s">
        <v>443</v>
      </c>
      <c r="AE49" s="5" t="s">
        <v>38</v>
      </c>
      <c r="AF49" s="8" t="s">
        <v>471</v>
      </c>
      <c r="AG49" s="4"/>
      <c r="AH49" s="5" t="s">
        <v>472</v>
      </c>
      <c r="AI49" s="48">
        <f>(AD49)/SQRT(L49)</f>
        <v>6.4845971347493897E-2</v>
      </c>
      <c r="AJ49" s="18">
        <f t="shared" si="40"/>
        <v>6.2252132493594139E-2</v>
      </c>
      <c r="AK49" s="5"/>
      <c r="AL49" s="5"/>
      <c r="AM49" s="1">
        <f t="shared" si="5"/>
        <v>0.10004844160000001</v>
      </c>
      <c r="AN49" s="5"/>
    </row>
    <row r="50" spans="1:40" ht="229.5" x14ac:dyDescent="0.35">
      <c r="A50" s="5">
        <v>23</v>
      </c>
      <c r="B50" s="5" t="s">
        <v>457</v>
      </c>
      <c r="C50" s="5"/>
      <c r="D50" s="5"/>
      <c r="E50" s="5"/>
      <c r="F50" s="5"/>
      <c r="G50" s="5"/>
      <c r="H50" s="5">
        <v>20</v>
      </c>
      <c r="I50" s="5" t="s">
        <v>38</v>
      </c>
      <c r="J50" s="5"/>
      <c r="K50" s="5" t="s">
        <v>38</v>
      </c>
      <c r="L50" s="5">
        <v>20</v>
      </c>
      <c r="M50" s="5"/>
      <c r="N50" s="5"/>
      <c r="O50" s="5"/>
      <c r="P50" s="5" t="s">
        <v>70</v>
      </c>
      <c r="Q50" s="5" t="s">
        <v>41</v>
      </c>
      <c r="R50" s="5" t="s">
        <v>458</v>
      </c>
      <c r="S50" s="5" t="s">
        <v>464</v>
      </c>
      <c r="T50" s="5" t="s">
        <v>38</v>
      </c>
      <c r="U50" s="5" t="s">
        <v>473</v>
      </c>
      <c r="V50" s="5" t="s">
        <v>466</v>
      </c>
      <c r="W50" s="5" t="s">
        <v>467</v>
      </c>
      <c r="X50" s="5" t="s">
        <v>468</v>
      </c>
      <c r="Y50" s="5" t="s">
        <v>474</v>
      </c>
      <c r="Z50" s="5" t="s">
        <v>475</v>
      </c>
      <c r="AA50" s="5"/>
      <c r="AB50" s="5"/>
      <c r="AC50" s="5" t="s">
        <v>80</v>
      </c>
      <c r="AD50" s="8" t="s">
        <v>476</v>
      </c>
      <c r="AE50" s="5" t="s">
        <v>38</v>
      </c>
      <c r="AF50" s="8" t="s">
        <v>471</v>
      </c>
      <c r="AG50" s="4"/>
      <c r="AH50" s="5" t="s">
        <v>472</v>
      </c>
      <c r="AI50" s="48">
        <f>(AD50)/SQRT(L50)</f>
        <v>-6.7082039324993681E-2</v>
      </c>
      <c r="AJ50" s="18">
        <f t="shared" ref="AJ50:AJ54" si="41">AI50*(1-(3/(4*(L50-1)-1)))</f>
        <v>-6.4398757751993926E-2</v>
      </c>
      <c r="AK50" s="5"/>
      <c r="AL50" s="5"/>
      <c r="AM50" s="1">
        <f t="shared" si="5"/>
        <v>0.10005184</v>
      </c>
      <c r="AN50" s="5"/>
    </row>
    <row r="51" spans="1:40" ht="229.5" x14ac:dyDescent="0.35">
      <c r="A51" s="5">
        <v>23</v>
      </c>
      <c r="B51" s="5" t="s">
        <v>457</v>
      </c>
      <c r="C51" s="5"/>
      <c r="D51" s="5"/>
      <c r="E51" s="5"/>
      <c r="F51" s="5"/>
      <c r="G51" s="5"/>
      <c r="H51" s="5">
        <v>20</v>
      </c>
      <c r="I51" s="5" t="s">
        <v>38</v>
      </c>
      <c r="J51" s="5"/>
      <c r="K51" s="5" t="s">
        <v>38</v>
      </c>
      <c r="L51" s="5">
        <v>20</v>
      </c>
      <c r="M51" s="5"/>
      <c r="N51" s="5"/>
      <c r="O51" s="5"/>
      <c r="P51" s="5" t="s">
        <v>70</v>
      </c>
      <c r="Q51" s="5" t="s">
        <v>41</v>
      </c>
      <c r="R51" s="5" t="s">
        <v>458</v>
      </c>
      <c r="S51" s="5" t="s">
        <v>464</v>
      </c>
      <c r="T51" s="5" t="s">
        <v>38</v>
      </c>
      <c r="U51" s="5" t="s">
        <v>477</v>
      </c>
      <c r="V51" s="5" t="s">
        <v>466</v>
      </c>
      <c r="W51" s="5" t="s">
        <v>467</v>
      </c>
      <c r="X51" s="5" t="s">
        <v>468</v>
      </c>
      <c r="Y51" s="5" t="s">
        <v>478</v>
      </c>
      <c r="Z51" s="5" t="s">
        <v>479</v>
      </c>
      <c r="AA51" s="5"/>
      <c r="AB51" s="5"/>
      <c r="AC51" s="5" t="s">
        <v>80</v>
      </c>
      <c r="AD51" s="8" t="s">
        <v>480</v>
      </c>
      <c r="AE51" s="5" t="s">
        <v>38</v>
      </c>
      <c r="AF51" s="8" t="s">
        <v>211</v>
      </c>
      <c r="AG51" s="4"/>
      <c r="AH51" s="5" t="s">
        <v>472</v>
      </c>
      <c r="AI51" s="48">
        <f>(AD51)/SQRT(L51)</f>
        <v>-0.13192801067248758</v>
      </c>
      <c r="AJ51" s="18">
        <f t="shared" si="41"/>
        <v>-0.12665089024558807</v>
      </c>
      <c r="AK51" s="5"/>
      <c r="AL51" s="5"/>
      <c r="AM51" s="1">
        <f t="shared" si="5"/>
        <v>0.1002005056</v>
      </c>
      <c r="AN51" s="5"/>
    </row>
    <row r="52" spans="1:40" ht="229.5" x14ac:dyDescent="0.35">
      <c r="A52" s="5">
        <v>23</v>
      </c>
      <c r="B52" s="5" t="s">
        <v>457</v>
      </c>
      <c r="C52" s="5"/>
      <c r="D52" s="5"/>
      <c r="E52" s="5"/>
      <c r="F52" s="5"/>
      <c r="G52" s="5"/>
      <c r="H52" s="5">
        <v>20</v>
      </c>
      <c r="I52" s="5" t="s">
        <v>38</v>
      </c>
      <c r="J52" s="5"/>
      <c r="K52" s="5" t="s">
        <v>38</v>
      </c>
      <c r="L52" s="5">
        <v>20</v>
      </c>
      <c r="M52" s="5"/>
      <c r="N52" s="5"/>
      <c r="O52" s="5"/>
      <c r="P52" s="5" t="s">
        <v>70</v>
      </c>
      <c r="Q52" s="5" t="s">
        <v>41</v>
      </c>
      <c r="R52" s="5" t="s">
        <v>458</v>
      </c>
      <c r="S52" s="5" t="s">
        <v>464</v>
      </c>
      <c r="T52" s="5" t="s">
        <v>38</v>
      </c>
      <c r="U52" s="5" t="s">
        <v>481</v>
      </c>
      <c r="V52" s="5" t="s">
        <v>466</v>
      </c>
      <c r="W52" s="5" t="s">
        <v>467</v>
      </c>
      <c r="X52" s="5" t="s">
        <v>468</v>
      </c>
      <c r="Y52" s="5" t="s">
        <v>482</v>
      </c>
      <c r="Z52" s="5" t="s">
        <v>483</v>
      </c>
      <c r="AA52" s="5"/>
      <c r="AB52" s="5"/>
      <c r="AC52" s="5" t="s">
        <v>80</v>
      </c>
      <c r="AD52" s="8" t="s">
        <v>484</v>
      </c>
      <c r="AE52" s="5" t="s">
        <v>38</v>
      </c>
      <c r="AF52" s="8" t="s">
        <v>485</v>
      </c>
      <c r="AG52" s="4"/>
      <c r="AH52" s="5" t="s">
        <v>472</v>
      </c>
      <c r="AI52" s="48">
        <f>(AD52)/SQRT(L52)</f>
        <v>-0.10285912696499032</v>
      </c>
      <c r="AJ52" s="18">
        <f t="shared" si="41"/>
        <v>-9.8744761886390697E-2</v>
      </c>
      <c r="AK52" s="5"/>
      <c r="AL52" s="5"/>
      <c r="AM52" s="1">
        <f t="shared" si="5"/>
        <v>0.1001218816</v>
      </c>
      <c r="AN52" s="5"/>
    </row>
    <row r="53" spans="1:40" ht="229.5" x14ac:dyDescent="0.35">
      <c r="A53" s="5">
        <v>23</v>
      </c>
      <c r="B53" s="5" t="s">
        <v>457</v>
      </c>
      <c r="C53" s="5"/>
      <c r="D53" s="5"/>
      <c r="E53" s="5"/>
      <c r="F53" s="5"/>
      <c r="G53" s="5"/>
      <c r="H53" s="5">
        <v>20</v>
      </c>
      <c r="I53" s="5" t="s">
        <v>38</v>
      </c>
      <c r="J53" s="5"/>
      <c r="K53" s="5" t="s">
        <v>38</v>
      </c>
      <c r="L53" s="5">
        <v>20</v>
      </c>
      <c r="M53" s="5"/>
      <c r="N53" s="5"/>
      <c r="O53" s="5"/>
      <c r="P53" s="5" t="s">
        <v>70</v>
      </c>
      <c r="Q53" s="5" t="s">
        <v>41</v>
      </c>
      <c r="R53" s="5" t="s">
        <v>458</v>
      </c>
      <c r="S53" s="5" t="s">
        <v>464</v>
      </c>
      <c r="T53" s="5" t="s">
        <v>38</v>
      </c>
      <c r="U53" s="5" t="s">
        <v>486</v>
      </c>
      <c r="V53" s="5" t="s">
        <v>466</v>
      </c>
      <c r="W53" s="5" t="s">
        <v>467</v>
      </c>
      <c r="X53" s="5" t="s">
        <v>468</v>
      </c>
      <c r="Y53" s="5" t="s">
        <v>487</v>
      </c>
      <c r="Z53" s="5" t="s">
        <v>356</v>
      </c>
      <c r="AA53" s="5"/>
      <c r="AB53" s="5"/>
      <c r="AC53" s="5" t="s">
        <v>80</v>
      </c>
      <c r="AD53" s="8" t="s">
        <v>488</v>
      </c>
      <c r="AE53" s="5" t="s">
        <v>38</v>
      </c>
      <c r="AF53" s="8" t="s">
        <v>489</v>
      </c>
      <c r="AG53" s="4"/>
      <c r="AH53" s="5" t="s">
        <v>472</v>
      </c>
      <c r="AI53" s="48">
        <f>(AD53)/SQRT(L53)</f>
        <v>-0.31975772078246989</v>
      </c>
      <c r="AJ53" s="18">
        <f t="shared" si="41"/>
        <v>-0.30696741195117111</v>
      </c>
      <c r="AK53" s="5"/>
      <c r="AL53" s="5"/>
      <c r="AM53" s="1">
        <f t="shared" si="5"/>
        <v>0.1011778624</v>
      </c>
      <c r="AN53" s="5"/>
    </row>
    <row r="54" spans="1:40" ht="178.5" x14ac:dyDescent="0.35">
      <c r="A54" s="5">
        <v>24</v>
      </c>
      <c r="B54" s="5" t="s">
        <v>490</v>
      </c>
      <c r="C54" s="5"/>
      <c r="D54" s="5"/>
      <c r="E54" s="5"/>
      <c r="F54" s="5"/>
      <c r="G54" s="5"/>
      <c r="H54" s="5">
        <v>34</v>
      </c>
      <c r="I54" s="5" t="s">
        <v>491</v>
      </c>
      <c r="J54" s="5"/>
      <c r="K54" s="5">
        <v>79</v>
      </c>
      <c r="L54" s="5">
        <v>34</v>
      </c>
      <c r="M54" s="5"/>
      <c r="N54" s="5"/>
      <c r="O54" s="5"/>
      <c r="P54" s="5" t="s">
        <v>492</v>
      </c>
      <c r="Q54" s="5" t="s">
        <v>41</v>
      </c>
      <c r="R54" s="5" t="s">
        <v>493</v>
      </c>
      <c r="S54" s="5" t="s">
        <v>494</v>
      </c>
      <c r="T54" s="5" t="s">
        <v>266</v>
      </c>
      <c r="U54" s="5" t="s">
        <v>495</v>
      </c>
      <c r="V54" s="5" t="s">
        <v>45</v>
      </c>
      <c r="W54" s="5" t="s">
        <v>496</v>
      </c>
      <c r="X54" s="5" t="s">
        <v>497</v>
      </c>
      <c r="Y54" s="5" t="s">
        <v>38</v>
      </c>
      <c r="Z54" s="5" t="s">
        <v>38</v>
      </c>
      <c r="AA54" s="5" t="s">
        <v>38</v>
      </c>
      <c r="AB54" s="5" t="s">
        <v>38</v>
      </c>
      <c r="AC54" s="5" t="s">
        <v>498</v>
      </c>
      <c r="AD54" s="8">
        <v>9.3700000000000006E-2</v>
      </c>
      <c r="AE54" s="5" t="s">
        <v>499</v>
      </c>
      <c r="AF54" s="8">
        <v>0.76</v>
      </c>
      <c r="AG54" s="4"/>
      <c r="AH54" s="5"/>
      <c r="AI54" s="48">
        <f>SQRT(AD54)/SQRT(L54)</f>
        <v>5.2496498482671933E-2</v>
      </c>
      <c r="AJ54" s="18">
        <f t="shared" si="41"/>
        <v>5.1294288593755781E-2</v>
      </c>
      <c r="AK54" s="5"/>
      <c r="AL54" s="5"/>
      <c r="AM54" s="1">
        <f t="shared" si="5"/>
        <v>5.8842875765017198E-2</v>
      </c>
      <c r="AN54" s="5"/>
    </row>
    <row r="55" spans="1:40" ht="178.5" x14ac:dyDescent="0.35">
      <c r="A55" s="5">
        <v>24</v>
      </c>
      <c r="B55" s="5" t="s">
        <v>490</v>
      </c>
      <c r="C55" s="5"/>
      <c r="D55" s="5"/>
      <c r="E55" s="5"/>
      <c r="F55" s="5"/>
      <c r="G55" s="5"/>
      <c r="H55" s="5">
        <v>34</v>
      </c>
      <c r="I55" s="5" t="s">
        <v>491</v>
      </c>
      <c r="J55" s="5"/>
      <c r="K55" s="5">
        <v>79</v>
      </c>
      <c r="L55" s="5">
        <v>34</v>
      </c>
      <c r="M55" s="5"/>
      <c r="N55" s="5"/>
      <c r="O55" s="5"/>
      <c r="P55" s="5" t="s">
        <v>492</v>
      </c>
      <c r="Q55" s="5" t="s">
        <v>41</v>
      </c>
      <c r="R55" s="5" t="s">
        <v>493</v>
      </c>
      <c r="S55" s="5" t="s">
        <v>494</v>
      </c>
      <c r="T55" s="5" t="s">
        <v>266</v>
      </c>
      <c r="U55" s="5" t="s">
        <v>500</v>
      </c>
      <c r="V55" s="5" t="s">
        <v>45</v>
      </c>
      <c r="W55" s="5" t="s">
        <v>501</v>
      </c>
      <c r="X55" s="5" t="s">
        <v>502</v>
      </c>
      <c r="Y55" s="5" t="s">
        <v>38</v>
      </c>
      <c r="Z55" s="5" t="s">
        <v>38</v>
      </c>
      <c r="AA55" s="5" t="s">
        <v>38</v>
      </c>
      <c r="AB55" s="5" t="s">
        <v>38</v>
      </c>
      <c r="AC55" s="5" t="s">
        <v>181</v>
      </c>
      <c r="AD55" s="8">
        <v>0.32900000000000001</v>
      </c>
      <c r="AE55" s="5" t="s">
        <v>499</v>
      </c>
      <c r="AF55" s="8">
        <v>0.64500000000000002</v>
      </c>
      <c r="AG55" s="4"/>
      <c r="AH55" s="5"/>
      <c r="AI55" s="48">
        <f>SQRT(AD55)/SQRT(L55)</f>
        <v>9.8369053000602252E-2</v>
      </c>
      <c r="AJ55" s="18">
        <f t="shared" ref="AJ55:AJ57" si="42">AI55*(1-(3/(4*(L55-1)-1)))</f>
        <v>9.61163265960083E-2</v>
      </c>
      <c r="AK55" s="5"/>
      <c r="AL55" s="5"/>
      <c r="AM55" s="1">
        <f t="shared" si="5"/>
        <v>5.889145844292875E-2</v>
      </c>
      <c r="AN55" s="5"/>
    </row>
    <row r="56" spans="1:40" ht="178.5" x14ac:dyDescent="0.35">
      <c r="A56" s="5">
        <v>24</v>
      </c>
      <c r="B56" s="5" t="s">
        <v>490</v>
      </c>
      <c r="C56" s="5"/>
      <c r="D56" s="5"/>
      <c r="E56" s="5"/>
      <c r="F56" s="5"/>
      <c r="G56" s="5"/>
      <c r="H56" s="5">
        <v>34</v>
      </c>
      <c r="I56" s="5" t="s">
        <v>491</v>
      </c>
      <c r="J56" s="5"/>
      <c r="K56" s="5">
        <v>79</v>
      </c>
      <c r="L56" s="5">
        <v>34</v>
      </c>
      <c r="M56" s="5"/>
      <c r="N56" s="5"/>
      <c r="O56" s="5"/>
      <c r="P56" s="5" t="s">
        <v>492</v>
      </c>
      <c r="Q56" s="5" t="s">
        <v>41</v>
      </c>
      <c r="R56" s="5" t="s">
        <v>493</v>
      </c>
      <c r="S56" s="5" t="s">
        <v>494</v>
      </c>
      <c r="T56" s="5" t="s">
        <v>266</v>
      </c>
      <c r="U56" s="5" t="s">
        <v>503</v>
      </c>
      <c r="V56" s="5" t="s">
        <v>45</v>
      </c>
      <c r="W56" s="5" t="s">
        <v>496</v>
      </c>
      <c r="X56" s="5" t="s">
        <v>497</v>
      </c>
      <c r="Y56" s="5" t="s">
        <v>38</v>
      </c>
      <c r="Z56" s="5" t="s">
        <v>38</v>
      </c>
      <c r="AA56" s="5" t="s">
        <v>38</v>
      </c>
      <c r="AB56" s="5" t="s">
        <v>38</v>
      </c>
      <c r="AC56" s="5" t="s">
        <v>498</v>
      </c>
      <c r="AD56" s="8">
        <v>205.75</v>
      </c>
      <c r="AE56" s="5" t="s">
        <v>504</v>
      </c>
      <c r="AF56" s="8" t="s">
        <v>98</v>
      </c>
      <c r="AG56" s="4"/>
      <c r="AH56" s="5"/>
      <c r="AI56" s="48">
        <f>SQRT(AD56)/SQRT(L56)</f>
        <v>2.459973696655168</v>
      </c>
      <c r="AJ56" s="18">
        <f t="shared" si="42"/>
        <v>2.4036384211592479</v>
      </c>
      <c r="AK56" s="5"/>
      <c r="AL56" s="5"/>
      <c r="AM56" s="1">
        <f t="shared" si="5"/>
        <v>0.10130498279171266</v>
      </c>
      <c r="AN56" s="5"/>
    </row>
    <row r="57" spans="1:40" ht="409.5" x14ac:dyDescent="0.35">
      <c r="A57" s="5">
        <v>25</v>
      </c>
      <c r="B57" s="5" t="s">
        <v>505</v>
      </c>
      <c r="C57" s="5"/>
      <c r="D57" s="5"/>
      <c r="E57" s="5"/>
      <c r="F57" s="5"/>
      <c r="G57" s="5"/>
      <c r="H57" s="5">
        <v>19</v>
      </c>
      <c r="I57" s="5" t="s">
        <v>506</v>
      </c>
      <c r="J57" s="5"/>
      <c r="K57" s="5" t="s">
        <v>38</v>
      </c>
      <c r="L57" s="5">
        <v>19</v>
      </c>
      <c r="M57" s="5"/>
      <c r="N57" s="5"/>
      <c r="O57" s="5"/>
      <c r="P57" s="5" t="s">
        <v>507</v>
      </c>
      <c r="Q57" s="5" t="s">
        <v>41</v>
      </c>
      <c r="R57" s="5" t="s">
        <v>493</v>
      </c>
      <c r="S57" s="5" t="s">
        <v>508</v>
      </c>
      <c r="T57" s="5" t="s">
        <v>509</v>
      </c>
      <c r="U57" s="5" t="s">
        <v>510</v>
      </c>
      <c r="V57" s="5" t="s">
        <v>455</v>
      </c>
      <c r="W57" s="5" t="s">
        <v>511</v>
      </c>
      <c r="X57" s="5" t="s">
        <v>512</v>
      </c>
      <c r="Y57" s="5" t="s">
        <v>38</v>
      </c>
      <c r="Z57" s="5" t="s">
        <v>38</v>
      </c>
      <c r="AA57" s="5" t="s">
        <v>38</v>
      </c>
      <c r="AB57" s="5" t="s">
        <v>38</v>
      </c>
      <c r="AC57" s="5" t="s">
        <v>513</v>
      </c>
      <c r="AD57" s="8" t="s">
        <v>514</v>
      </c>
      <c r="AE57" s="5" t="s">
        <v>38</v>
      </c>
      <c r="AF57" s="8">
        <v>2.5000000000000001E-2</v>
      </c>
      <c r="AG57" s="4" t="s">
        <v>515</v>
      </c>
      <c r="AH57" s="5" t="s">
        <v>93</v>
      </c>
      <c r="AI57" s="48">
        <f>-SQRT(-AD57)/SQRT(L57)</f>
        <v>-0.34335803011158084</v>
      </c>
      <c r="AJ57" s="18">
        <f t="shared" si="42"/>
        <v>-0.32884994433221826</v>
      </c>
      <c r="AK57" s="5"/>
      <c r="AL57" s="5"/>
      <c r="AM57" s="1">
        <f t="shared" si="5"/>
        <v>0.10668608270904345</v>
      </c>
      <c r="AN57" s="5"/>
    </row>
    <row r="58" spans="1:40" ht="127.5" x14ac:dyDescent="0.35">
      <c r="A58" s="5">
        <v>26</v>
      </c>
      <c r="B58" s="5" t="s">
        <v>516</v>
      </c>
      <c r="C58" s="5"/>
      <c r="D58" s="5"/>
      <c r="E58" s="5"/>
      <c r="F58" s="5"/>
      <c r="G58" s="5"/>
      <c r="H58" s="5">
        <v>25</v>
      </c>
      <c r="I58" s="5" t="s">
        <v>517</v>
      </c>
      <c r="J58" s="5"/>
      <c r="K58" s="5">
        <v>64</v>
      </c>
      <c r="L58" s="5">
        <v>25</v>
      </c>
      <c r="M58" s="5"/>
      <c r="N58" s="5"/>
      <c r="O58" s="5"/>
      <c r="P58" s="5" t="s">
        <v>70</v>
      </c>
      <c r="Q58" s="5" t="s">
        <v>41</v>
      </c>
      <c r="R58" s="5" t="s">
        <v>493</v>
      </c>
      <c r="S58" s="5" t="s">
        <v>518</v>
      </c>
      <c r="T58" s="5" t="s">
        <v>509</v>
      </c>
      <c r="U58" s="5" t="s">
        <v>519</v>
      </c>
      <c r="V58" s="5" t="s">
        <v>455</v>
      </c>
      <c r="W58" s="5" t="s">
        <v>511</v>
      </c>
      <c r="X58" s="5" t="s">
        <v>512</v>
      </c>
      <c r="Y58" s="5" t="s">
        <v>520</v>
      </c>
      <c r="Z58" s="5" t="s">
        <v>521</v>
      </c>
      <c r="AA58" s="5" t="s">
        <v>522</v>
      </c>
      <c r="AB58" s="5" t="s">
        <v>92</v>
      </c>
      <c r="AC58" s="5" t="s">
        <v>80</v>
      </c>
      <c r="AD58" s="8" t="s">
        <v>38</v>
      </c>
      <c r="AE58" s="5" t="s">
        <v>38</v>
      </c>
      <c r="AF58" s="32" t="s">
        <v>81</v>
      </c>
      <c r="AG58" s="4"/>
      <c r="AH58" s="5" t="s">
        <v>93</v>
      </c>
      <c r="AI58" s="46">
        <f t="shared" ref="AI58:AI61" si="43">(AA58-Y58)/AK58</f>
        <v>-3.0368669670582835</v>
      </c>
      <c r="AJ58" s="5">
        <f t="shared" ref="AJ58:AJ63" si="44">AI58*(1-(3/(4*(L58-1)-1)))</f>
        <v>-2.9409659049406534</v>
      </c>
      <c r="AK58" s="1">
        <f t="shared" ref="AK58:AK61" si="45">SQRT(((L58-1)*Z58^2+(L58-1)*AB58^2)/(2*L58-2))</f>
        <v>0.36221540552549669</v>
      </c>
      <c r="AL58" s="5"/>
      <c r="AM58" s="1">
        <f t="shared" si="5"/>
        <v>0.16649280454023396</v>
      </c>
      <c r="AN58" s="5"/>
    </row>
    <row r="59" spans="1:40" ht="127.5" x14ac:dyDescent="0.35">
      <c r="A59" s="5">
        <v>26</v>
      </c>
      <c r="B59" s="5" t="s">
        <v>516</v>
      </c>
      <c r="C59" s="5"/>
      <c r="D59" s="5"/>
      <c r="E59" s="5"/>
      <c r="F59" s="5"/>
      <c r="G59" s="5"/>
      <c r="H59" s="5">
        <v>25</v>
      </c>
      <c r="I59" s="5" t="s">
        <v>517</v>
      </c>
      <c r="J59" s="5"/>
      <c r="K59" s="5">
        <v>64</v>
      </c>
      <c r="L59" s="5">
        <v>25</v>
      </c>
      <c r="M59" s="5"/>
      <c r="N59" s="5"/>
      <c r="O59" s="5"/>
      <c r="P59" s="5" t="s">
        <v>70</v>
      </c>
      <c r="Q59" s="5" t="s">
        <v>41</v>
      </c>
      <c r="R59" s="5" t="s">
        <v>493</v>
      </c>
      <c r="S59" s="5" t="s">
        <v>518</v>
      </c>
      <c r="T59" s="5" t="s">
        <v>509</v>
      </c>
      <c r="U59" s="5" t="s">
        <v>523</v>
      </c>
      <c r="V59" s="5" t="s">
        <v>455</v>
      </c>
      <c r="W59" s="5" t="s">
        <v>511</v>
      </c>
      <c r="X59" s="5" t="s">
        <v>512</v>
      </c>
      <c r="Y59" s="5" t="s">
        <v>524</v>
      </c>
      <c r="Z59" s="5" t="s">
        <v>525</v>
      </c>
      <c r="AA59" s="5" t="s">
        <v>522</v>
      </c>
      <c r="AB59" s="5" t="s">
        <v>92</v>
      </c>
      <c r="AC59" s="5" t="s">
        <v>80</v>
      </c>
      <c r="AD59" s="8" t="s">
        <v>38</v>
      </c>
      <c r="AE59" s="5" t="s">
        <v>38</v>
      </c>
      <c r="AF59" s="32" t="s">
        <v>81</v>
      </c>
      <c r="AG59" s="4"/>
      <c r="AH59" s="5"/>
      <c r="AI59" s="46">
        <f t="shared" si="43"/>
        <v>-3.0991717880446839</v>
      </c>
      <c r="AJ59" s="5">
        <f t="shared" si="44"/>
        <v>-3.0013032052643256</v>
      </c>
      <c r="AK59" s="1">
        <f t="shared" si="45"/>
        <v>0.34525353003264142</v>
      </c>
      <c r="AL59" s="5"/>
      <c r="AM59" s="1">
        <f t="shared" si="5"/>
        <v>0.17007820929929915</v>
      </c>
      <c r="AN59" s="5"/>
    </row>
    <row r="60" spans="1:40" ht="127.5" x14ac:dyDescent="0.35">
      <c r="A60" s="5">
        <v>26</v>
      </c>
      <c r="B60" s="5" t="s">
        <v>516</v>
      </c>
      <c r="C60" s="5"/>
      <c r="D60" s="5"/>
      <c r="E60" s="5"/>
      <c r="F60" s="5"/>
      <c r="G60" s="5"/>
      <c r="H60" s="5">
        <v>25</v>
      </c>
      <c r="I60" s="5" t="s">
        <v>517</v>
      </c>
      <c r="J60" s="5"/>
      <c r="K60" s="5">
        <v>64</v>
      </c>
      <c r="L60" s="5">
        <v>25</v>
      </c>
      <c r="M60" s="5"/>
      <c r="N60" s="5"/>
      <c r="O60" s="5"/>
      <c r="P60" s="5" t="s">
        <v>70</v>
      </c>
      <c r="Q60" s="5" t="s">
        <v>41</v>
      </c>
      <c r="R60" s="5" t="s">
        <v>493</v>
      </c>
      <c r="S60" s="5" t="s">
        <v>518</v>
      </c>
      <c r="T60" s="5" t="s">
        <v>509</v>
      </c>
      <c r="U60" s="5" t="s">
        <v>526</v>
      </c>
      <c r="V60" s="5" t="s">
        <v>455</v>
      </c>
      <c r="W60" s="5" t="s">
        <v>511</v>
      </c>
      <c r="X60" s="5" t="s">
        <v>512</v>
      </c>
      <c r="Y60" s="5" t="s">
        <v>527</v>
      </c>
      <c r="Z60" s="5" t="s">
        <v>528</v>
      </c>
      <c r="AA60" s="5" t="s">
        <v>522</v>
      </c>
      <c r="AB60" s="5" t="s">
        <v>92</v>
      </c>
      <c r="AC60" s="5" t="s">
        <v>80</v>
      </c>
      <c r="AD60" s="8" t="s">
        <v>38</v>
      </c>
      <c r="AE60" s="5" t="s">
        <v>38</v>
      </c>
      <c r="AF60" s="32" t="s">
        <v>81</v>
      </c>
      <c r="AG60" s="4"/>
      <c r="AH60" s="5"/>
      <c r="AI60" s="46">
        <f t="shared" si="43"/>
        <v>-2.4817669061721461</v>
      </c>
      <c r="AJ60" s="5">
        <f t="shared" si="44"/>
        <v>-2.4033953196614468</v>
      </c>
      <c r="AK60" s="1">
        <f t="shared" si="45"/>
        <v>0.36667424234598212</v>
      </c>
      <c r="AL60" s="5"/>
      <c r="AM60" s="1">
        <f t="shared" si="5"/>
        <v>0.13776309062570549</v>
      </c>
      <c r="AN60" s="5"/>
    </row>
    <row r="61" spans="1:40" ht="127.5" x14ac:dyDescent="0.35">
      <c r="A61" s="5">
        <v>26</v>
      </c>
      <c r="B61" s="5" t="s">
        <v>516</v>
      </c>
      <c r="C61" s="5"/>
      <c r="D61" s="5"/>
      <c r="E61" s="5"/>
      <c r="F61" s="5"/>
      <c r="G61" s="5"/>
      <c r="H61" s="5">
        <v>25</v>
      </c>
      <c r="I61" s="5" t="s">
        <v>517</v>
      </c>
      <c r="J61" s="5"/>
      <c r="K61" s="5">
        <v>64</v>
      </c>
      <c r="L61" s="5">
        <v>25</v>
      </c>
      <c r="M61" s="5"/>
      <c r="N61" s="5"/>
      <c r="O61" s="5"/>
      <c r="P61" s="5" t="s">
        <v>70</v>
      </c>
      <c r="Q61" s="5" t="s">
        <v>41</v>
      </c>
      <c r="R61" s="5" t="s">
        <v>493</v>
      </c>
      <c r="S61" s="5" t="s">
        <v>518</v>
      </c>
      <c r="T61" s="5" t="s">
        <v>509</v>
      </c>
      <c r="U61" s="5" t="s">
        <v>529</v>
      </c>
      <c r="V61" s="5" t="s">
        <v>455</v>
      </c>
      <c r="W61" s="5" t="s">
        <v>511</v>
      </c>
      <c r="X61" s="5" t="s">
        <v>512</v>
      </c>
      <c r="Y61" s="5" t="s">
        <v>522</v>
      </c>
      <c r="Z61" s="5" t="s">
        <v>92</v>
      </c>
      <c r="AA61" s="5" t="s">
        <v>530</v>
      </c>
      <c r="AB61" s="5" t="s">
        <v>521</v>
      </c>
      <c r="AC61" s="5" t="s">
        <v>80</v>
      </c>
      <c r="AD61" s="8" t="s">
        <v>38</v>
      </c>
      <c r="AE61" s="5" t="s">
        <v>38</v>
      </c>
      <c r="AF61" s="32" t="s">
        <v>81</v>
      </c>
      <c r="AG61" s="4"/>
      <c r="AH61" s="5"/>
      <c r="AI61" s="46">
        <f t="shared" si="43"/>
        <v>3.9203191756570566</v>
      </c>
      <c r="AJ61" s="5">
        <f t="shared" si="44"/>
        <v>3.7965196227415707</v>
      </c>
      <c r="AK61" s="1">
        <f t="shared" si="45"/>
        <v>0.36221540552549669</v>
      </c>
      <c r="AL61" s="5"/>
      <c r="AM61" s="1">
        <f t="shared" si="5"/>
        <v>0.22413561245861796</v>
      </c>
      <c r="AN61" s="5"/>
    </row>
    <row r="62" spans="1:40" ht="89.25" x14ac:dyDescent="0.35">
      <c r="A62" s="5">
        <v>27</v>
      </c>
      <c r="B62" s="5" t="s">
        <v>531</v>
      </c>
      <c r="C62" s="5"/>
      <c r="D62" s="5"/>
      <c r="E62" s="5"/>
      <c r="F62" s="5"/>
      <c r="G62" s="5"/>
      <c r="H62" s="5">
        <v>45</v>
      </c>
      <c r="I62" s="5" t="s">
        <v>532</v>
      </c>
      <c r="J62" s="5"/>
      <c r="K62" s="5" t="s">
        <v>533</v>
      </c>
      <c r="L62" s="5">
        <v>45</v>
      </c>
      <c r="M62" s="5"/>
      <c r="N62" s="5"/>
      <c r="O62" s="5"/>
      <c r="P62" s="5" t="s">
        <v>70</v>
      </c>
      <c r="Q62" s="5" t="s">
        <v>41</v>
      </c>
      <c r="R62" s="5" t="s">
        <v>534</v>
      </c>
      <c r="S62" s="5" t="s">
        <v>535</v>
      </c>
      <c r="T62" s="5" t="s">
        <v>536</v>
      </c>
      <c r="U62" s="5" t="s">
        <v>537</v>
      </c>
      <c r="V62" s="5" t="s">
        <v>538</v>
      </c>
      <c r="W62" s="5" t="s">
        <v>539</v>
      </c>
      <c r="X62" s="5"/>
      <c r="Y62" s="5" t="s">
        <v>38</v>
      </c>
      <c r="Z62" s="5" t="s">
        <v>38</v>
      </c>
      <c r="AA62" s="5" t="s">
        <v>38</v>
      </c>
      <c r="AB62" s="5" t="s">
        <v>38</v>
      </c>
      <c r="AC62" s="5" t="s">
        <v>80</v>
      </c>
      <c r="AD62" s="8" t="s">
        <v>38</v>
      </c>
      <c r="AE62" s="5" t="s">
        <v>38</v>
      </c>
      <c r="AF62" s="8" t="s">
        <v>345</v>
      </c>
      <c r="AG62" s="4"/>
      <c r="AH62" s="5" t="s">
        <v>93</v>
      </c>
      <c r="AI62" s="47">
        <v>0.22</v>
      </c>
      <c r="AJ62" s="5">
        <f t="shared" si="44"/>
        <v>0.21622857142857144</v>
      </c>
      <c r="AK62" s="5"/>
      <c r="AL62" s="5"/>
      <c r="AM62" s="1">
        <f t="shared" si="5"/>
        <v>4.470419330612245E-2</v>
      </c>
      <c r="AN62" s="5"/>
    </row>
    <row r="63" spans="1:40" ht="89.25" x14ac:dyDescent="0.35">
      <c r="A63" s="5">
        <v>27</v>
      </c>
      <c r="B63" s="5" t="s">
        <v>531</v>
      </c>
      <c r="C63" s="5"/>
      <c r="D63" s="5"/>
      <c r="E63" s="5"/>
      <c r="F63" s="5"/>
      <c r="G63" s="5"/>
      <c r="H63" s="5">
        <v>45</v>
      </c>
      <c r="I63" s="5" t="s">
        <v>532</v>
      </c>
      <c r="J63" s="5"/>
      <c r="K63" s="5" t="s">
        <v>533</v>
      </c>
      <c r="L63" s="5">
        <v>45</v>
      </c>
      <c r="M63" s="5"/>
      <c r="N63" s="5"/>
      <c r="O63" s="5"/>
      <c r="P63" s="5" t="s">
        <v>70</v>
      </c>
      <c r="Q63" s="5" t="s">
        <v>41</v>
      </c>
      <c r="R63" s="5" t="s">
        <v>534</v>
      </c>
      <c r="S63" s="5" t="s">
        <v>535</v>
      </c>
      <c r="T63" s="5" t="s">
        <v>536</v>
      </c>
      <c r="U63" s="5" t="s">
        <v>540</v>
      </c>
      <c r="V63" s="5" t="s">
        <v>538</v>
      </c>
      <c r="W63" s="5" t="s">
        <v>539</v>
      </c>
      <c r="X63" s="5"/>
      <c r="Y63" s="5" t="s">
        <v>38</v>
      </c>
      <c r="Z63" s="5" t="s">
        <v>38</v>
      </c>
      <c r="AA63" s="5" t="s">
        <v>38</v>
      </c>
      <c r="AB63" s="5" t="s">
        <v>38</v>
      </c>
      <c r="AC63" s="5" t="s">
        <v>80</v>
      </c>
      <c r="AD63" s="8" t="s">
        <v>38</v>
      </c>
      <c r="AE63" s="5" t="s">
        <v>38</v>
      </c>
      <c r="AF63" s="8">
        <v>5.3999999999999999E-2</v>
      </c>
      <c r="AG63" s="4"/>
      <c r="AH63" s="5" t="s">
        <v>93</v>
      </c>
      <c r="AI63" s="47">
        <v>-0.14000000000000001</v>
      </c>
      <c r="AJ63" s="5">
        <f t="shared" si="44"/>
        <v>-0.13760000000000003</v>
      </c>
      <c r="AK63" s="5"/>
      <c r="AL63" s="5"/>
      <c r="AM63" s="1">
        <f t="shared" si="5"/>
        <v>4.4549631999999999E-2</v>
      </c>
      <c r="AN63" s="5"/>
    </row>
    <row r="64" spans="1:40" ht="140.25" x14ac:dyDescent="0.35">
      <c r="A64" s="5">
        <v>32</v>
      </c>
      <c r="B64" s="5" t="s">
        <v>557</v>
      </c>
      <c r="C64" s="5"/>
      <c r="D64" s="5"/>
      <c r="E64" s="5"/>
      <c r="F64" s="5"/>
      <c r="G64" s="5"/>
      <c r="H64" s="5">
        <v>4</v>
      </c>
      <c r="I64" s="5"/>
      <c r="J64" s="5"/>
      <c r="K64" s="5"/>
      <c r="L64" s="5">
        <v>4</v>
      </c>
      <c r="M64" s="5"/>
      <c r="N64" s="5"/>
      <c r="O64" s="5"/>
      <c r="P64" s="5" t="s">
        <v>70</v>
      </c>
      <c r="Q64" s="5" t="s">
        <v>41</v>
      </c>
      <c r="R64" s="5" t="s">
        <v>558</v>
      </c>
      <c r="S64" s="5" t="s">
        <v>559</v>
      </c>
      <c r="T64" s="5" t="s">
        <v>38</v>
      </c>
      <c r="U64" s="5" t="s">
        <v>365</v>
      </c>
      <c r="V64" s="5" t="s">
        <v>560</v>
      </c>
      <c r="W64" s="5" t="s">
        <v>561</v>
      </c>
      <c r="X64" s="5" t="s">
        <v>547</v>
      </c>
      <c r="Y64" s="5" t="s">
        <v>562</v>
      </c>
      <c r="Z64" s="5" t="s">
        <v>235</v>
      </c>
      <c r="AA64" s="5" t="s">
        <v>563</v>
      </c>
      <c r="AB64" s="5" t="s">
        <v>431</v>
      </c>
      <c r="AC64" s="5" t="s">
        <v>38</v>
      </c>
      <c r="AD64" s="8" t="s">
        <v>38</v>
      </c>
      <c r="AE64" s="5" t="s">
        <v>38</v>
      </c>
      <c r="AF64" s="8" t="s">
        <v>38</v>
      </c>
      <c r="AG64" s="4"/>
      <c r="AH64" s="5"/>
      <c r="AI64" s="46">
        <f t="shared" ref="AI64:AI65" si="46">(AA64-Y64)/AK64</f>
        <v>0.54336807854186708</v>
      </c>
      <c r="AJ64" s="5">
        <f t="shared" ref="AJ64:AJ65" si="47">AI64*(1-(3/(4*(L64-1)-1)))</f>
        <v>0.39517678439408516</v>
      </c>
      <c r="AK64" s="1">
        <f t="shared" ref="AK64:AK65" si="48">SQRT(((L64-1)*Z64^2+(L64-1)*AB64^2)/(2*L64-2))</f>
        <v>1.6011246047700347</v>
      </c>
      <c r="AL64" s="5"/>
      <c r="AM64" s="1">
        <f t="shared" si="5"/>
        <v>0.50976029318275307</v>
      </c>
      <c r="AN64" s="5"/>
    </row>
    <row r="65" spans="1:40" ht="140.25" x14ac:dyDescent="0.35">
      <c r="A65" s="5">
        <v>32</v>
      </c>
      <c r="B65" s="5" t="s">
        <v>557</v>
      </c>
      <c r="C65" s="5"/>
      <c r="D65" s="5"/>
      <c r="E65" s="5"/>
      <c r="F65" s="5"/>
      <c r="G65" s="5"/>
      <c r="H65" s="5">
        <v>4</v>
      </c>
      <c r="I65" s="5"/>
      <c r="J65" s="5"/>
      <c r="K65" s="5"/>
      <c r="L65" s="5">
        <v>4</v>
      </c>
      <c r="M65" s="5"/>
      <c r="N65" s="5"/>
      <c r="O65" s="5"/>
      <c r="P65" s="5" t="s">
        <v>70</v>
      </c>
      <c r="Q65" s="5" t="s">
        <v>41</v>
      </c>
      <c r="R65" s="5" t="s">
        <v>558</v>
      </c>
      <c r="S65" s="5" t="s">
        <v>559</v>
      </c>
      <c r="T65" s="5" t="s">
        <v>38</v>
      </c>
      <c r="U65" s="5" t="s">
        <v>564</v>
      </c>
      <c r="V65" s="5" t="s">
        <v>560</v>
      </c>
      <c r="W65" s="5" t="s">
        <v>561</v>
      </c>
      <c r="X65" s="5" t="s">
        <v>547</v>
      </c>
      <c r="Y65" s="5" t="s">
        <v>563</v>
      </c>
      <c r="Z65" s="5" t="s">
        <v>431</v>
      </c>
      <c r="AA65" s="5">
        <v>2</v>
      </c>
      <c r="AB65" s="5" t="s">
        <v>565</v>
      </c>
      <c r="AC65" s="5" t="s">
        <v>38</v>
      </c>
      <c r="AD65" s="8" t="s">
        <v>38</v>
      </c>
      <c r="AE65" s="5" t="s">
        <v>38</v>
      </c>
      <c r="AF65" s="8" t="s">
        <v>38</v>
      </c>
      <c r="AG65" s="4"/>
      <c r="AH65" s="5"/>
      <c r="AI65" s="46">
        <f t="shared" si="46"/>
        <v>-1.3519495273355666</v>
      </c>
      <c r="AJ65" s="5">
        <f t="shared" si="47"/>
        <v>-0.98323601988041209</v>
      </c>
      <c r="AK65" s="1">
        <f t="shared" si="48"/>
        <v>1.1982695856943044</v>
      </c>
      <c r="AL65" s="5"/>
      <c r="AM65" s="1">
        <f t="shared" si="5"/>
        <v>0.56042206692439211</v>
      </c>
      <c r="AN65" s="5"/>
    </row>
    <row r="66" spans="1:40" ht="127.5" x14ac:dyDescent="0.35">
      <c r="A66" s="5">
        <v>33</v>
      </c>
      <c r="B66" s="5" t="s">
        <v>566</v>
      </c>
      <c r="C66" s="5"/>
      <c r="D66" s="5"/>
      <c r="E66" s="5"/>
      <c r="F66" s="5"/>
      <c r="G66" s="5"/>
      <c r="H66" s="5">
        <v>40</v>
      </c>
      <c r="I66" s="5"/>
      <c r="J66" s="5"/>
      <c r="K66" s="5" t="s">
        <v>567</v>
      </c>
      <c r="L66" s="5">
        <v>40</v>
      </c>
      <c r="M66" s="5"/>
      <c r="N66" s="5"/>
      <c r="O66" s="5"/>
      <c r="P66" s="5" t="s">
        <v>70</v>
      </c>
      <c r="Q66" s="5" t="s">
        <v>41</v>
      </c>
      <c r="R66" s="5" t="s">
        <v>568</v>
      </c>
      <c r="S66" s="5" t="s">
        <v>569</v>
      </c>
      <c r="T66" s="5" t="s">
        <v>38</v>
      </c>
      <c r="U66" s="5" t="s">
        <v>570</v>
      </c>
      <c r="V66" s="5" t="s">
        <v>571</v>
      </c>
      <c r="W66" s="5" t="s">
        <v>38</v>
      </c>
      <c r="X66" s="5" t="s">
        <v>547</v>
      </c>
      <c r="Y66" s="5" t="s">
        <v>38</v>
      </c>
      <c r="Z66" s="5" t="s">
        <v>38</v>
      </c>
      <c r="AA66" s="5" t="s">
        <v>38</v>
      </c>
      <c r="AB66" s="5" t="s">
        <v>38</v>
      </c>
      <c r="AC66" s="5" t="s">
        <v>572</v>
      </c>
      <c r="AD66" s="8" t="s">
        <v>573</v>
      </c>
      <c r="AE66" s="5">
        <v>40</v>
      </c>
      <c r="AF66" s="8" t="s">
        <v>98</v>
      </c>
      <c r="AG66" s="4"/>
      <c r="AH66" s="5"/>
      <c r="AI66" s="47">
        <f>(AD66)/(AD66*AD66)</f>
        <v>1.639344262295082</v>
      </c>
      <c r="AJ66" s="5">
        <f>(2*AD66)/SQRT(1-(AD66*AD66))</f>
        <v>1.5396237050168617</v>
      </c>
      <c r="AK66" s="1"/>
      <c r="AL66" s="5"/>
      <c r="AM66" s="1">
        <f t="shared" si="5"/>
        <v>6.4815257206561561E-2</v>
      </c>
      <c r="AN66" s="5"/>
    </row>
    <row r="67" spans="1:40" ht="127.5" x14ac:dyDescent="0.35">
      <c r="A67" s="5">
        <v>33</v>
      </c>
      <c r="B67" s="5" t="s">
        <v>566</v>
      </c>
      <c r="C67" s="5"/>
      <c r="D67" s="5"/>
      <c r="E67" s="5"/>
      <c r="F67" s="5"/>
      <c r="G67" s="5"/>
      <c r="H67" s="5">
        <v>40</v>
      </c>
      <c r="I67" s="5"/>
      <c r="J67" s="5"/>
      <c r="K67" s="5" t="s">
        <v>567</v>
      </c>
      <c r="L67" s="5">
        <v>40</v>
      </c>
      <c r="M67" s="5"/>
      <c r="N67" s="5"/>
      <c r="O67" s="5"/>
      <c r="P67" s="5" t="s">
        <v>70</v>
      </c>
      <c r="Q67" s="5" t="s">
        <v>41</v>
      </c>
      <c r="R67" s="5" t="s">
        <v>568</v>
      </c>
      <c r="S67" s="5" t="s">
        <v>569</v>
      </c>
      <c r="T67" s="5" t="s">
        <v>38</v>
      </c>
      <c r="U67" s="5" t="s">
        <v>574</v>
      </c>
      <c r="V67" s="5" t="s">
        <v>571</v>
      </c>
      <c r="W67" s="5" t="s">
        <v>38</v>
      </c>
      <c r="X67" s="5" t="s">
        <v>547</v>
      </c>
      <c r="Y67" s="5" t="s">
        <v>38</v>
      </c>
      <c r="Z67" s="5" t="s">
        <v>38</v>
      </c>
      <c r="AA67" s="5" t="s">
        <v>38</v>
      </c>
      <c r="AB67" s="5" t="s">
        <v>38</v>
      </c>
      <c r="AC67" s="5" t="s">
        <v>572</v>
      </c>
      <c r="AD67" s="8" t="s">
        <v>240</v>
      </c>
      <c r="AE67" s="5">
        <v>40</v>
      </c>
      <c r="AF67" s="8">
        <v>2E-3</v>
      </c>
      <c r="AG67" s="4"/>
      <c r="AH67" s="5"/>
      <c r="AI67" s="47">
        <f>(AD67)/(AD67*AD67)</f>
        <v>2.1276595744680851</v>
      </c>
      <c r="AJ67" s="5">
        <f>(2*AD67)/SQRT(1-(AD67*AD67))</f>
        <v>1.0649549865357935</v>
      </c>
      <c r="AK67" s="5"/>
      <c r="AL67" s="5"/>
      <c r="AM67" s="1">
        <f t="shared" ref="AM67:AM71" si="49">(L67+L67)/(L67*L67)+(AJ67*AJ67)/(2*(L67+L67))</f>
        <v>5.7088307020921575E-2</v>
      </c>
      <c r="AN67" s="5"/>
    </row>
    <row r="68" spans="1:40" ht="89.25" x14ac:dyDescent="0.35">
      <c r="A68" s="5">
        <v>34</v>
      </c>
      <c r="B68" s="5" t="s">
        <v>575</v>
      </c>
      <c r="C68" s="5"/>
      <c r="D68" s="5"/>
      <c r="E68" s="5"/>
      <c r="F68" s="5"/>
      <c r="G68" s="5"/>
      <c r="H68" s="5">
        <v>40</v>
      </c>
      <c r="I68" s="5" t="s">
        <v>576</v>
      </c>
      <c r="J68" s="5"/>
      <c r="K68" s="5">
        <v>70</v>
      </c>
      <c r="L68" s="5">
        <v>40</v>
      </c>
      <c r="M68" s="5"/>
      <c r="N68" s="5"/>
      <c r="O68" s="5"/>
      <c r="P68" s="5" t="s">
        <v>70</v>
      </c>
      <c r="Q68" s="5" t="s">
        <v>41</v>
      </c>
      <c r="R68" s="5" t="s">
        <v>310</v>
      </c>
      <c r="S68" s="5" t="s">
        <v>577</v>
      </c>
      <c r="T68" s="5" t="s">
        <v>578</v>
      </c>
      <c r="U68" s="5" t="s">
        <v>579</v>
      </c>
      <c r="V68" s="5" t="s">
        <v>580</v>
      </c>
      <c r="W68" s="5" t="s">
        <v>581</v>
      </c>
      <c r="X68" s="5" t="s">
        <v>582</v>
      </c>
      <c r="Y68" s="5" t="s">
        <v>233</v>
      </c>
      <c r="Z68" s="5" t="s">
        <v>583</v>
      </c>
      <c r="AA68" s="5">
        <v>31</v>
      </c>
      <c r="AB68" s="5" t="s">
        <v>584</v>
      </c>
      <c r="AC68" s="5" t="s">
        <v>585</v>
      </c>
      <c r="AD68" s="8" t="s">
        <v>254</v>
      </c>
      <c r="AE68" s="5">
        <v>37</v>
      </c>
      <c r="AF68" s="8" t="s">
        <v>586</v>
      </c>
      <c r="AG68" s="4"/>
      <c r="AH68" s="5"/>
      <c r="AI68" s="47">
        <v>-0.14000000000000001</v>
      </c>
      <c r="AJ68" s="5">
        <f t="shared" ref="AJ68:AJ71" si="50">AI68*(1-(3/(4*(L68-1)-1)))</f>
        <v>-0.13729032258064516</v>
      </c>
      <c r="AK68" s="5"/>
      <c r="AL68" s="5"/>
      <c r="AM68" s="1">
        <f t="shared" si="49"/>
        <v>5.0117803954214363E-2</v>
      </c>
      <c r="AN68" s="5"/>
    </row>
    <row r="69" spans="1:40" ht="76.5" x14ac:dyDescent="0.35">
      <c r="A69" s="5">
        <v>34</v>
      </c>
      <c r="B69" s="5" t="s">
        <v>575</v>
      </c>
      <c r="C69" s="5"/>
      <c r="D69" s="5"/>
      <c r="E69" s="5"/>
      <c r="F69" s="5"/>
      <c r="G69" s="5"/>
      <c r="H69" s="5">
        <v>40</v>
      </c>
      <c r="I69" s="5" t="s">
        <v>576</v>
      </c>
      <c r="J69" s="5"/>
      <c r="K69" s="5">
        <v>70</v>
      </c>
      <c r="L69" s="5">
        <v>40</v>
      </c>
      <c r="M69" s="5"/>
      <c r="N69" s="5"/>
      <c r="O69" s="5"/>
      <c r="P69" s="5" t="s">
        <v>70</v>
      </c>
      <c r="Q69" s="5" t="s">
        <v>41</v>
      </c>
      <c r="R69" s="5" t="s">
        <v>310</v>
      </c>
      <c r="S69" s="5" t="s">
        <v>577</v>
      </c>
      <c r="T69" s="5" t="s">
        <v>578</v>
      </c>
      <c r="U69" s="5" t="s">
        <v>587</v>
      </c>
      <c r="V69" s="5" t="s">
        <v>588</v>
      </c>
      <c r="W69" s="5" t="s">
        <v>589</v>
      </c>
      <c r="X69" s="5" t="s">
        <v>195</v>
      </c>
      <c r="Y69" s="5" t="s">
        <v>562</v>
      </c>
      <c r="Z69" s="5" t="s">
        <v>590</v>
      </c>
      <c r="AA69" s="5" t="s">
        <v>591</v>
      </c>
      <c r="AB69" s="5" t="s">
        <v>592</v>
      </c>
      <c r="AC69" s="5" t="s">
        <v>585</v>
      </c>
      <c r="AD69" s="8" t="s">
        <v>593</v>
      </c>
      <c r="AE69" s="5">
        <v>37</v>
      </c>
      <c r="AF69" s="8">
        <v>1E-3</v>
      </c>
      <c r="AG69" s="4"/>
      <c r="AH69" s="5"/>
      <c r="AI69" s="47">
        <v>-0.14000000000000001</v>
      </c>
      <c r="AJ69" s="5">
        <f t="shared" si="50"/>
        <v>-0.13729032258064516</v>
      </c>
      <c r="AK69" s="5"/>
      <c r="AL69" s="5"/>
      <c r="AM69" s="1">
        <f t="shared" si="49"/>
        <v>5.0117803954214363E-2</v>
      </c>
      <c r="AN69" s="5"/>
    </row>
    <row r="70" spans="1:40" ht="409.5" x14ac:dyDescent="0.35">
      <c r="A70" s="5">
        <v>35</v>
      </c>
      <c r="B70" s="5" t="s">
        <v>594</v>
      </c>
      <c r="C70" s="5"/>
      <c r="D70" s="5"/>
      <c r="E70" s="5"/>
      <c r="F70" s="5"/>
      <c r="G70" s="5"/>
      <c r="H70" s="5">
        <v>22</v>
      </c>
      <c r="I70" s="5" t="s">
        <v>595</v>
      </c>
      <c r="J70" s="5"/>
      <c r="K70" s="5">
        <f>14/22*100</f>
        <v>63.636363636363633</v>
      </c>
      <c r="L70" s="5">
        <v>22</v>
      </c>
      <c r="M70" s="5"/>
      <c r="N70" s="5"/>
      <c r="O70" s="5"/>
      <c r="P70" s="5" t="s">
        <v>70</v>
      </c>
      <c r="Q70" s="5" t="s">
        <v>41</v>
      </c>
      <c r="R70" s="14" t="s">
        <v>333</v>
      </c>
      <c r="S70" s="5" t="s">
        <v>596</v>
      </c>
      <c r="T70" s="5" t="s">
        <v>597</v>
      </c>
      <c r="U70" s="5" t="s">
        <v>598</v>
      </c>
      <c r="V70" s="5" t="s">
        <v>599</v>
      </c>
      <c r="W70" s="5" t="s">
        <v>600</v>
      </c>
      <c r="X70" s="5" t="s">
        <v>547</v>
      </c>
      <c r="Y70" s="5" t="s">
        <v>601</v>
      </c>
      <c r="Z70" s="5" t="s">
        <v>602</v>
      </c>
      <c r="AA70" s="5" t="s">
        <v>603</v>
      </c>
      <c r="AB70" s="5" t="s">
        <v>604</v>
      </c>
      <c r="AC70" s="5"/>
      <c r="AD70" s="8"/>
      <c r="AE70" s="5"/>
      <c r="AF70" s="8"/>
      <c r="AG70" s="4" t="s">
        <v>605</v>
      </c>
      <c r="AH70" s="5"/>
      <c r="AI70" s="46">
        <f t="shared" ref="AI70" si="51">(AA70-Y70)/AK70</f>
        <v>-0.4809855269099737</v>
      </c>
      <c r="AJ70" s="5">
        <f t="shared" si="50"/>
        <v>-0.46360050786503487</v>
      </c>
      <c r="AK70" s="1">
        <f t="shared" ref="AK70:AK71" si="52">SQRT(((L70-1)*Z70^2+(L70-1)*AB70^2)/(2*L70-2))</f>
        <v>1.3306013678032953</v>
      </c>
      <c r="AL70" s="5"/>
      <c r="AM70" s="1">
        <f t="shared" si="49"/>
        <v>9.3351425351053618E-2</v>
      </c>
      <c r="AN70" s="5"/>
    </row>
    <row r="71" spans="1:40" ht="102" x14ac:dyDescent="0.35">
      <c r="A71" s="5">
        <v>38</v>
      </c>
      <c r="B71" s="5" t="s">
        <v>621</v>
      </c>
      <c r="C71" s="5"/>
      <c r="D71" s="5"/>
      <c r="E71" s="5"/>
      <c r="F71" s="5"/>
      <c r="G71" s="5"/>
      <c r="H71" s="5">
        <v>19</v>
      </c>
      <c r="I71" s="5" t="s">
        <v>622</v>
      </c>
      <c r="J71" s="5"/>
      <c r="K71" s="5">
        <f>10/19*100</f>
        <v>52.631578947368418</v>
      </c>
      <c r="L71" s="5">
        <v>19</v>
      </c>
      <c r="M71" s="5"/>
      <c r="N71" s="5"/>
      <c r="O71" s="5"/>
      <c r="P71" s="5" t="s">
        <v>70</v>
      </c>
      <c r="Q71" s="5" t="s">
        <v>41</v>
      </c>
      <c r="R71" s="5" t="s">
        <v>623</v>
      </c>
      <c r="S71" s="5" t="s">
        <v>624</v>
      </c>
      <c r="T71" s="5" t="s">
        <v>191</v>
      </c>
      <c r="U71" s="5" t="s">
        <v>625</v>
      </c>
      <c r="V71" s="5" t="s">
        <v>599</v>
      </c>
      <c r="W71" s="5" t="s">
        <v>600</v>
      </c>
      <c r="X71" s="5" t="s">
        <v>547</v>
      </c>
      <c r="Y71" s="5" t="s">
        <v>626</v>
      </c>
      <c r="Z71" s="5" t="s">
        <v>616</v>
      </c>
      <c r="AA71" s="5"/>
      <c r="AB71" s="5"/>
      <c r="AC71" s="5"/>
      <c r="AD71" s="8"/>
      <c r="AE71" s="5"/>
      <c r="AF71" s="8"/>
      <c r="AG71" s="4" t="s">
        <v>627</v>
      </c>
      <c r="AH71" s="5"/>
      <c r="AI71" s="46">
        <f>(Y71)/AK71</f>
        <v>3.4345186514775166</v>
      </c>
      <c r="AJ71" s="5">
        <f t="shared" si="50"/>
        <v>3.2893981450770582</v>
      </c>
      <c r="AK71" s="1">
        <f t="shared" si="52"/>
        <v>9.8994949366116664E-2</v>
      </c>
      <c r="AL71" s="5"/>
      <c r="AM71" s="1">
        <f t="shared" si="49"/>
        <v>0.24763342311626829</v>
      </c>
      <c r="AN71" s="5"/>
    </row>
    <row r="72" spans="1:40" ht="12.75" x14ac:dyDescent="0.35">
      <c r="Y72" s="39"/>
      <c r="Z72" s="39"/>
      <c r="AA72" s="39"/>
      <c r="AB72" s="39"/>
      <c r="AD72" s="40"/>
      <c r="AE72" s="41"/>
      <c r="AF72" s="42"/>
      <c r="AI72" s="49"/>
      <c r="AJ72" s="42"/>
      <c r="AK72" s="42"/>
    </row>
    <row r="73" spans="1:40" ht="12.75" x14ac:dyDescent="0.35">
      <c r="Y73" s="39"/>
      <c r="Z73" s="39"/>
      <c r="AA73" s="39"/>
      <c r="AB73" s="39"/>
      <c r="AD73" s="40"/>
      <c r="AE73" s="41"/>
      <c r="AF73" s="42"/>
      <c r="AI73" s="49"/>
      <c r="AJ73" s="42"/>
      <c r="AK73" s="42"/>
    </row>
    <row r="74" spans="1:40" ht="12.75" x14ac:dyDescent="0.35">
      <c r="Y74" s="39"/>
      <c r="Z74" s="39"/>
      <c r="AA74" s="39"/>
      <c r="AB74" s="39"/>
      <c r="AD74" s="40"/>
      <c r="AE74" s="41"/>
      <c r="AF74" s="42"/>
      <c r="AI74" s="49"/>
      <c r="AJ74" s="42"/>
      <c r="AK74" s="42"/>
    </row>
    <row r="75" spans="1:40" ht="12.75" x14ac:dyDescent="0.35">
      <c r="Y75" s="39"/>
      <c r="Z75" s="39"/>
      <c r="AA75" s="39"/>
      <c r="AB75" s="39"/>
      <c r="AD75" s="40"/>
      <c r="AE75" s="41"/>
      <c r="AF75" s="42"/>
      <c r="AI75" s="49"/>
      <c r="AJ75" s="42"/>
      <c r="AK75" s="42"/>
    </row>
    <row r="76" spans="1:40" ht="12.75" x14ac:dyDescent="0.35">
      <c r="Y76" s="39"/>
      <c r="Z76" s="39"/>
      <c r="AA76" s="39"/>
      <c r="AB76" s="39"/>
      <c r="AD76" s="40"/>
      <c r="AE76" s="41"/>
      <c r="AF76" s="42"/>
      <c r="AI76" s="49"/>
      <c r="AJ76" s="42"/>
      <c r="AK76" s="42"/>
    </row>
    <row r="77" spans="1:40" ht="12.75" x14ac:dyDescent="0.35">
      <c r="Y77" s="39"/>
      <c r="Z77" s="39"/>
      <c r="AA77" s="39"/>
      <c r="AB77" s="39"/>
      <c r="AD77" s="40"/>
      <c r="AE77" s="41"/>
      <c r="AF77" s="42"/>
      <c r="AI77" s="49"/>
      <c r="AJ77" s="42"/>
      <c r="AK77" s="42"/>
    </row>
    <row r="78" spans="1:40" ht="12.75" x14ac:dyDescent="0.35">
      <c r="Y78" s="39"/>
      <c r="Z78" s="39"/>
      <c r="AA78" s="39"/>
      <c r="AB78" s="39"/>
      <c r="AD78" s="40"/>
      <c r="AE78" s="41"/>
      <c r="AF78" s="42"/>
      <c r="AI78" s="49"/>
      <c r="AJ78" s="42"/>
      <c r="AK78" s="42"/>
    </row>
    <row r="79" spans="1:40" ht="12.75" x14ac:dyDescent="0.35">
      <c r="Y79" s="39"/>
      <c r="Z79" s="39"/>
      <c r="AA79" s="39"/>
      <c r="AB79" s="39"/>
      <c r="AD79" s="40"/>
      <c r="AE79" s="41"/>
      <c r="AF79" s="42"/>
      <c r="AI79" s="49"/>
      <c r="AJ79" s="42"/>
      <c r="AK79" s="42"/>
    </row>
    <row r="80" spans="1:40" ht="12.75" x14ac:dyDescent="0.35">
      <c r="Y80" s="39"/>
      <c r="Z80" s="39"/>
      <c r="AA80" s="39"/>
      <c r="AB80" s="39"/>
      <c r="AD80" s="40"/>
      <c r="AE80" s="41"/>
      <c r="AF80" s="42"/>
      <c r="AI80" s="49"/>
      <c r="AJ80" s="42"/>
      <c r="AK80" s="42"/>
    </row>
    <row r="81" spans="25:37" ht="12.75" x14ac:dyDescent="0.35">
      <c r="Y81" s="39"/>
      <c r="Z81" s="39"/>
      <c r="AA81" s="39"/>
      <c r="AB81" s="39"/>
      <c r="AD81" s="40"/>
      <c r="AE81" s="41"/>
      <c r="AF81" s="42"/>
      <c r="AI81" s="49"/>
      <c r="AJ81" s="42"/>
      <c r="AK81" s="42"/>
    </row>
    <row r="82" spans="25:37" ht="12.75" x14ac:dyDescent="0.35">
      <c r="Y82" s="39"/>
      <c r="Z82" s="39"/>
      <c r="AA82" s="39"/>
      <c r="AB82" s="39"/>
      <c r="AD82" s="40"/>
      <c r="AE82" s="41"/>
      <c r="AF82" s="42"/>
      <c r="AI82" s="49"/>
      <c r="AJ82" s="42"/>
      <c r="AK82" s="42"/>
    </row>
    <row r="83" spans="25:37" ht="12.75" x14ac:dyDescent="0.35">
      <c r="Y83" s="39"/>
      <c r="Z83" s="39"/>
      <c r="AA83" s="39"/>
      <c r="AB83" s="39"/>
      <c r="AD83" s="40"/>
      <c r="AE83" s="41"/>
      <c r="AF83" s="42"/>
      <c r="AI83" s="49"/>
      <c r="AJ83" s="42"/>
      <c r="AK83" s="42"/>
    </row>
    <row r="84" spans="25:37" ht="12.75" x14ac:dyDescent="0.35">
      <c r="Y84" s="39"/>
      <c r="Z84" s="39"/>
      <c r="AA84" s="39"/>
      <c r="AB84" s="39"/>
      <c r="AD84" s="40"/>
      <c r="AE84" s="41"/>
      <c r="AF84" s="42"/>
      <c r="AI84" s="49"/>
      <c r="AJ84" s="42"/>
      <c r="AK84" s="42"/>
    </row>
    <row r="85" spans="25:37" ht="12.75" x14ac:dyDescent="0.35">
      <c r="Y85" s="39"/>
      <c r="Z85" s="39"/>
      <c r="AA85" s="39"/>
      <c r="AB85" s="39"/>
      <c r="AD85" s="40"/>
      <c r="AE85" s="41"/>
      <c r="AF85" s="42"/>
      <c r="AI85" s="49"/>
      <c r="AJ85" s="42"/>
      <c r="AK85" s="42"/>
    </row>
    <row r="86" spans="25:37" ht="12.75" x14ac:dyDescent="0.35">
      <c r="Y86" s="39"/>
      <c r="Z86" s="39"/>
      <c r="AA86" s="39"/>
      <c r="AB86" s="39"/>
      <c r="AD86" s="40"/>
      <c r="AE86" s="41"/>
      <c r="AF86" s="42"/>
      <c r="AI86" s="49"/>
      <c r="AJ86" s="42"/>
      <c r="AK86" s="42"/>
    </row>
    <row r="87" spans="25:37" ht="12.75" x14ac:dyDescent="0.35">
      <c r="Y87" s="39"/>
      <c r="Z87" s="39"/>
      <c r="AA87" s="39"/>
      <c r="AB87" s="39"/>
      <c r="AD87" s="40"/>
      <c r="AE87" s="41"/>
      <c r="AF87" s="42"/>
      <c r="AI87" s="49"/>
      <c r="AJ87" s="42"/>
      <c r="AK87" s="42"/>
    </row>
    <row r="88" spans="25:37" ht="12.75" x14ac:dyDescent="0.35">
      <c r="Y88" s="39"/>
      <c r="Z88" s="39"/>
      <c r="AA88" s="39"/>
      <c r="AB88" s="39"/>
      <c r="AD88" s="40"/>
      <c r="AE88" s="41"/>
      <c r="AF88" s="42"/>
      <c r="AI88" s="49"/>
      <c r="AJ88" s="42"/>
      <c r="AK88" s="42"/>
    </row>
    <row r="89" spans="25:37" ht="12.75" x14ac:dyDescent="0.35">
      <c r="Y89" s="39"/>
      <c r="Z89" s="39"/>
      <c r="AA89" s="39"/>
      <c r="AB89" s="39"/>
      <c r="AD89" s="40"/>
      <c r="AE89" s="41"/>
      <c r="AF89" s="42"/>
      <c r="AI89" s="49"/>
      <c r="AJ89" s="42"/>
      <c r="AK89" s="42"/>
    </row>
    <row r="90" spans="25:37" ht="12.75" x14ac:dyDescent="0.35">
      <c r="Y90" s="39"/>
      <c r="Z90" s="39"/>
      <c r="AA90" s="39"/>
      <c r="AB90" s="39"/>
      <c r="AD90" s="40"/>
      <c r="AE90" s="41"/>
      <c r="AF90" s="42"/>
      <c r="AI90" s="49"/>
      <c r="AJ90" s="42"/>
      <c r="AK90" s="42"/>
    </row>
    <row r="91" spans="25:37" ht="12.75" x14ac:dyDescent="0.35">
      <c r="Y91" s="39"/>
      <c r="Z91" s="39"/>
      <c r="AA91" s="39"/>
      <c r="AB91" s="39"/>
      <c r="AD91" s="40"/>
      <c r="AE91" s="41"/>
      <c r="AF91" s="42"/>
      <c r="AI91" s="49"/>
      <c r="AJ91" s="42"/>
      <c r="AK91" s="42"/>
    </row>
    <row r="92" spans="25:37" ht="12.75" x14ac:dyDescent="0.35">
      <c r="Y92" s="39"/>
      <c r="Z92" s="39"/>
      <c r="AA92" s="39"/>
      <c r="AB92" s="39"/>
      <c r="AD92" s="40"/>
      <c r="AE92" s="41"/>
      <c r="AF92" s="42"/>
      <c r="AI92" s="49"/>
      <c r="AJ92" s="42"/>
      <c r="AK92" s="42"/>
    </row>
    <row r="93" spans="25:37" ht="12.75" x14ac:dyDescent="0.35">
      <c r="Y93" s="39"/>
      <c r="Z93" s="39"/>
      <c r="AA93" s="39"/>
      <c r="AB93" s="39"/>
      <c r="AD93" s="40"/>
      <c r="AE93" s="41"/>
      <c r="AF93" s="42"/>
      <c r="AI93" s="49"/>
      <c r="AJ93" s="42"/>
      <c r="AK93" s="42"/>
    </row>
    <row r="94" spans="25:37" ht="12.75" x14ac:dyDescent="0.35">
      <c r="Y94" s="39"/>
      <c r="Z94" s="39"/>
      <c r="AA94" s="39"/>
      <c r="AB94" s="39"/>
      <c r="AD94" s="40"/>
      <c r="AE94" s="41"/>
      <c r="AF94" s="42"/>
      <c r="AI94" s="49"/>
      <c r="AJ94" s="42"/>
      <c r="AK94" s="42"/>
    </row>
    <row r="95" spans="25:37" ht="12.75" x14ac:dyDescent="0.35">
      <c r="Y95" s="39"/>
      <c r="Z95" s="39"/>
      <c r="AA95" s="39"/>
      <c r="AB95" s="39"/>
      <c r="AD95" s="40"/>
      <c r="AE95" s="41"/>
      <c r="AF95" s="42"/>
      <c r="AI95" s="49"/>
      <c r="AJ95" s="42"/>
      <c r="AK95" s="42"/>
    </row>
    <row r="96" spans="25:37" ht="12.75" x14ac:dyDescent="0.35">
      <c r="Y96" s="39"/>
      <c r="Z96" s="39"/>
      <c r="AA96" s="39"/>
      <c r="AB96" s="39"/>
      <c r="AD96" s="40"/>
      <c r="AE96" s="41"/>
      <c r="AF96" s="42"/>
      <c r="AI96" s="49"/>
      <c r="AJ96" s="42"/>
      <c r="AK96" s="42"/>
    </row>
    <row r="97" spans="25:37" ht="12.75" x14ac:dyDescent="0.35">
      <c r="Y97" s="39"/>
      <c r="Z97" s="39"/>
      <c r="AA97" s="39"/>
      <c r="AB97" s="39"/>
      <c r="AD97" s="40"/>
      <c r="AE97" s="41"/>
      <c r="AF97" s="42"/>
      <c r="AI97" s="49"/>
      <c r="AJ97" s="42"/>
      <c r="AK97" s="42"/>
    </row>
    <row r="98" spans="25:37" ht="12.75" x14ac:dyDescent="0.35">
      <c r="Y98" s="39"/>
      <c r="Z98" s="39"/>
      <c r="AA98" s="39"/>
      <c r="AB98" s="39"/>
      <c r="AD98" s="40"/>
      <c r="AE98" s="41"/>
      <c r="AF98" s="42"/>
      <c r="AI98" s="49"/>
      <c r="AJ98" s="42"/>
      <c r="AK98" s="42"/>
    </row>
    <row r="99" spans="25:37" ht="12.75" x14ac:dyDescent="0.35">
      <c r="Y99" s="39"/>
      <c r="Z99" s="39"/>
      <c r="AA99" s="39"/>
      <c r="AB99" s="39"/>
      <c r="AD99" s="40"/>
      <c r="AE99" s="41"/>
      <c r="AF99" s="42"/>
      <c r="AI99" s="49"/>
      <c r="AJ99" s="42"/>
      <c r="AK99" s="42"/>
    </row>
    <row r="100" spans="25:37" ht="12.75" x14ac:dyDescent="0.35">
      <c r="Y100" s="39"/>
      <c r="Z100" s="39"/>
      <c r="AA100" s="39"/>
      <c r="AB100" s="39"/>
      <c r="AD100" s="40"/>
      <c r="AE100" s="41"/>
      <c r="AF100" s="42"/>
      <c r="AI100" s="49"/>
      <c r="AJ100" s="42"/>
      <c r="AK100" s="42"/>
    </row>
    <row r="101" spans="25:37" ht="12.75" x14ac:dyDescent="0.35">
      <c r="Y101" s="39"/>
      <c r="Z101" s="39"/>
      <c r="AA101" s="39"/>
      <c r="AB101" s="39"/>
      <c r="AD101" s="40"/>
      <c r="AE101" s="41"/>
      <c r="AF101" s="42"/>
      <c r="AI101" s="49"/>
      <c r="AJ101" s="42"/>
      <c r="AK101" s="42"/>
    </row>
    <row r="102" spans="25:37" ht="12.75" x14ac:dyDescent="0.35">
      <c r="Y102" s="39"/>
      <c r="Z102" s="39"/>
      <c r="AA102" s="39"/>
      <c r="AB102" s="39"/>
      <c r="AD102" s="40"/>
      <c r="AE102" s="41"/>
      <c r="AF102" s="42"/>
      <c r="AI102" s="49"/>
      <c r="AJ102" s="42"/>
      <c r="AK102" s="42"/>
    </row>
    <row r="103" spans="25:37" ht="12.75" x14ac:dyDescent="0.35">
      <c r="Y103" s="39"/>
      <c r="Z103" s="39"/>
      <c r="AA103" s="39"/>
      <c r="AB103" s="39"/>
      <c r="AD103" s="40"/>
      <c r="AE103" s="41"/>
      <c r="AF103" s="42"/>
      <c r="AI103" s="49"/>
      <c r="AJ103" s="42"/>
      <c r="AK103" s="42"/>
    </row>
    <row r="104" spans="25:37" ht="12.75" x14ac:dyDescent="0.35">
      <c r="Y104" s="39"/>
      <c r="Z104" s="39"/>
      <c r="AA104" s="39"/>
      <c r="AB104" s="39"/>
      <c r="AD104" s="40"/>
      <c r="AE104" s="41"/>
      <c r="AF104" s="42"/>
      <c r="AI104" s="49"/>
      <c r="AJ104" s="42"/>
      <c r="AK104" s="42"/>
    </row>
    <row r="105" spans="25:37" ht="12.75" x14ac:dyDescent="0.35">
      <c r="Y105" s="39"/>
      <c r="Z105" s="39"/>
      <c r="AA105" s="39"/>
      <c r="AB105" s="39"/>
      <c r="AD105" s="40"/>
      <c r="AE105" s="41"/>
      <c r="AF105" s="42"/>
      <c r="AI105" s="49"/>
      <c r="AJ105" s="42"/>
      <c r="AK105" s="42"/>
    </row>
    <row r="106" spans="25:37" ht="12.75" x14ac:dyDescent="0.35">
      <c r="Y106" s="39"/>
      <c r="Z106" s="39"/>
      <c r="AA106" s="39"/>
      <c r="AB106" s="39"/>
      <c r="AD106" s="40"/>
      <c r="AE106" s="41"/>
      <c r="AF106" s="42"/>
      <c r="AI106" s="49"/>
      <c r="AJ106" s="42"/>
      <c r="AK106" s="42"/>
    </row>
    <row r="107" spans="25:37" ht="12.75" x14ac:dyDescent="0.35">
      <c r="Y107" s="39"/>
      <c r="Z107" s="39"/>
      <c r="AA107" s="39"/>
      <c r="AB107" s="39"/>
      <c r="AD107" s="40"/>
      <c r="AE107" s="41"/>
      <c r="AF107" s="42"/>
      <c r="AI107" s="49"/>
      <c r="AJ107" s="42"/>
      <c r="AK107" s="42"/>
    </row>
    <row r="108" spans="25:37" ht="12.75" x14ac:dyDescent="0.35">
      <c r="Y108" s="39"/>
      <c r="Z108" s="39"/>
      <c r="AA108" s="39"/>
      <c r="AB108" s="39"/>
      <c r="AD108" s="40"/>
      <c r="AE108" s="41"/>
      <c r="AF108" s="42"/>
      <c r="AI108" s="49"/>
      <c r="AJ108" s="42"/>
      <c r="AK108" s="42"/>
    </row>
    <row r="109" spans="25:37" ht="12.75" x14ac:dyDescent="0.35">
      <c r="Y109" s="39"/>
      <c r="Z109" s="39"/>
      <c r="AA109" s="39"/>
      <c r="AB109" s="39"/>
      <c r="AD109" s="40"/>
      <c r="AE109" s="41"/>
      <c r="AF109" s="42"/>
      <c r="AI109" s="49"/>
      <c r="AJ109" s="42"/>
      <c r="AK109" s="42"/>
    </row>
    <row r="110" spans="25:37" ht="12.75" x14ac:dyDescent="0.35">
      <c r="Y110" s="39"/>
      <c r="Z110" s="39"/>
      <c r="AA110" s="39"/>
      <c r="AB110" s="39"/>
      <c r="AD110" s="40"/>
      <c r="AE110" s="41"/>
      <c r="AF110" s="42"/>
      <c r="AI110" s="49"/>
      <c r="AJ110" s="42"/>
      <c r="AK110" s="42"/>
    </row>
    <row r="111" spans="25:37" ht="12.75" x14ac:dyDescent="0.35">
      <c r="Y111" s="39"/>
      <c r="Z111" s="39"/>
      <c r="AA111" s="39"/>
      <c r="AB111" s="39"/>
      <c r="AD111" s="40"/>
      <c r="AE111" s="41"/>
      <c r="AF111" s="42"/>
      <c r="AI111" s="49"/>
      <c r="AJ111" s="42"/>
      <c r="AK111" s="42"/>
    </row>
    <row r="112" spans="25:37" ht="12.75" x14ac:dyDescent="0.35">
      <c r="Y112" s="39"/>
      <c r="Z112" s="39"/>
      <c r="AA112" s="39"/>
      <c r="AB112" s="39"/>
      <c r="AD112" s="40"/>
      <c r="AE112" s="41"/>
      <c r="AF112" s="42"/>
      <c r="AI112" s="49"/>
      <c r="AJ112" s="42"/>
      <c r="AK112" s="42"/>
    </row>
    <row r="113" spans="25:37" ht="12.75" x14ac:dyDescent="0.35">
      <c r="Y113" s="39"/>
      <c r="Z113" s="39"/>
      <c r="AA113" s="39"/>
      <c r="AB113" s="39"/>
      <c r="AD113" s="40"/>
      <c r="AE113" s="41"/>
      <c r="AF113" s="42"/>
      <c r="AI113" s="49"/>
      <c r="AJ113" s="42"/>
      <c r="AK113" s="42"/>
    </row>
    <row r="114" spans="25:37" ht="12.75" x14ac:dyDescent="0.35">
      <c r="Y114" s="39"/>
      <c r="Z114" s="39"/>
      <c r="AA114" s="39"/>
      <c r="AB114" s="39"/>
      <c r="AD114" s="40"/>
      <c r="AE114" s="41"/>
      <c r="AF114" s="42"/>
      <c r="AI114" s="49"/>
      <c r="AJ114" s="42"/>
      <c r="AK114" s="42"/>
    </row>
    <row r="115" spans="25:37" ht="12.75" x14ac:dyDescent="0.35">
      <c r="Y115" s="39"/>
      <c r="Z115" s="39"/>
      <c r="AA115" s="39"/>
      <c r="AB115" s="39"/>
      <c r="AD115" s="40"/>
      <c r="AE115" s="41"/>
      <c r="AF115" s="42"/>
      <c r="AI115" s="49"/>
      <c r="AJ115" s="42"/>
      <c r="AK115" s="42"/>
    </row>
    <row r="116" spans="25:37" ht="12.75" x14ac:dyDescent="0.35">
      <c r="Y116" s="39"/>
      <c r="Z116" s="39"/>
      <c r="AA116" s="39"/>
      <c r="AB116" s="39"/>
      <c r="AD116" s="40"/>
      <c r="AE116" s="41"/>
      <c r="AF116" s="42"/>
      <c r="AI116" s="49"/>
      <c r="AJ116" s="42"/>
      <c r="AK116" s="42"/>
    </row>
    <row r="117" spans="25:37" ht="12.75" x14ac:dyDescent="0.35">
      <c r="Y117" s="39"/>
      <c r="Z117" s="39"/>
      <c r="AA117" s="39"/>
      <c r="AB117" s="39"/>
      <c r="AD117" s="40"/>
      <c r="AE117" s="41"/>
      <c r="AF117" s="42"/>
      <c r="AI117" s="49"/>
      <c r="AJ117" s="42"/>
      <c r="AK117" s="42"/>
    </row>
    <row r="118" spans="25:37" ht="12.75" x14ac:dyDescent="0.35">
      <c r="Y118" s="39"/>
      <c r="Z118" s="39"/>
      <c r="AA118" s="39"/>
      <c r="AB118" s="39"/>
      <c r="AD118" s="40"/>
      <c r="AE118" s="41"/>
      <c r="AF118" s="42"/>
      <c r="AI118" s="49"/>
      <c r="AJ118" s="42"/>
      <c r="AK118" s="42"/>
    </row>
    <row r="119" spans="25:37" ht="12.75" x14ac:dyDescent="0.35">
      <c r="Y119" s="39"/>
      <c r="Z119" s="39"/>
      <c r="AA119" s="39"/>
      <c r="AB119" s="39"/>
      <c r="AD119" s="40"/>
      <c r="AE119" s="41"/>
      <c r="AF119" s="42"/>
      <c r="AI119" s="49"/>
      <c r="AJ119" s="42"/>
      <c r="AK119" s="42"/>
    </row>
    <row r="120" spans="25:37" ht="12.75" x14ac:dyDescent="0.35">
      <c r="Y120" s="39"/>
      <c r="Z120" s="39"/>
      <c r="AA120" s="39"/>
      <c r="AB120" s="39"/>
      <c r="AD120" s="40"/>
      <c r="AE120" s="41"/>
      <c r="AF120" s="42"/>
      <c r="AI120" s="49"/>
      <c r="AJ120" s="42"/>
      <c r="AK120" s="42"/>
    </row>
    <row r="121" spans="25:37" ht="12.75" x14ac:dyDescent="0.35">
      <c r="Y121" s="39"/>
      <c r="Z121" s="39"/>
      <c r="AA121" s="39"/>
      <c r="AB121" s="39"/>
      <c r="AD121" s="40"/>
      <c r="AE121" s="41"/>
      <c r="AF121" s="42"/>
      <c r="AI121" s="49"/>
      <c r="AJ121" s="42"/>
      <c r="AK121" s="42"/>
    </row>
    <row r="122" spans="25:37" ht="12.75" x14ac:dyDescent="0.35">
      <c r="Y122" s="39"/>
      <c r="Z122" s="39"/>
      <c r="AA122" s="39"/>
      <c r="AB122" s="39"/>
      <c r="AD122" s="40"/>
      <c r="AE122" s="41"/>
      <c r="AF122" s="42"/>
      <c r="AI122" s="49"/>
      <c r="AJ122" s="42"/>
      <c r="AK122" s="42"/>
    </row>
    <row r="123" spans="25:37" ht="12.75" x14ac:dyDescent="0.35">
      <c r="Y123" s="39"/>
      <c r="Z123" s="39"/>
      <c r="AA123" s="39"/>
      <c r="AB123" s="39"/>
      <c r="AD123" s="40"/>
      <c r="AE123" s="41"/>
      <c r="AF123" s="42"/>
      <c r="AI123" s="49"/>
      <c r="AJ123" s="42"/>
      <c r="AK123" s="42"/>
    </row>
    <row r="124" spans="25:37" ht="12.75" x14ac:dyDescent="0.35">
      <c r="Y124" s="39"/>
      <c r="Z124" s="39"/>
      <c r="AA124" s="39"/>
      <c r="AB124" s="39"/>
      <c r="AD124" s="40"/>
      <c r="AE124" s="41"/>
      <c r="AF124" s="42"/>
      <c r="AI124" s="49"/>
      <c r="AJ124" s="42"/>
      <c r="AK124" s="42"/>
    </row>
    <row r="125" spans="25:37" ht="12.75" x14ac:dyDescent="0.35">
      <c r="Y125" s="39"/>
      <c r="Z125" s="39"/>
      <c r="AA125" s="39"/>
      <c r="AB125" s="39"/>
      <c r="AD125" s="40"/>
      <c r="AE125" s="41"/>
      <c r="AF125" s="42"/>
      <c r="AI125" s="49"/>
      <c r="AJ125" s="42"/>
      <c r="AK125" s="42"/>
    </row>
    <row r="126" spans="25:37" ht="12.75" x14ac:dyDescent="0.35">
      <c r="Y126" s="39"/>
      <c r="Z126" s="39"/>
      <c r="AA126" s="39"/>
      <c r="AB126" s="39"/>
      <c r="AD126" s="40"/>
      <c r="AE126" s="41"/>
      <c r="AF126" s="42"/>
      <c r="AI126" s="49"/>
      <c r="AJ126" s="42"/>
      <c r="AK126" s="42"/>
    </row>
    <row r="127" spans="25:37" ht="12.75" x14ac:dyDescent="0.35">
      <c r="Y127" s="39"/>
      <c r="Z127" s="39"/>
      <c r="AA127" s="39"/>
      <c r="AB127" s="39"/>
      <c r="AD127" s="40"/>
      <c r="AE127" s="41"/>
      <c r="AF127" s="42"/>
      <c r="AI127" s="49"/>
      <c r="AJ127" s="42"/>
      <c r="AK127" s="42"/>
    </row>
    <row r="128" spans="25:37" ht="12.75" x14ac:dyDescent="0.35">
      <c r="Y128" s="39"/>
      <c r="Z128" s="39"/>
      <c r="AA128" s="39"/>
      <c r="AB128" s="39"/>
      <c r="AD128" s="40"/>
      <c r="AE128" s="41"/>
      <c r="AF128" s="42"/>
      <c r="AI128" s="49"/>
      <c r="AJ128" s="42"/>
      <c r="AK128" s="42"/>
    </row>
    <row r="129" spans="25:37" ht="12.75" x14ac:dyDescent="0.35">
      <c r="Y129" s="39"/>
      <c r="Z129" s="39"/>
      <c r="AA129" s="39"/>
      <c r="AB129" s="39"/>
      <c r="AD129" s="40"/>
      <c r="AE129" s="41"/>
      <c r="AF129" s="42"/>
      <c r="AI129" s="49"/>
      <c r="AJ129" s="42"/>
      <c r="AK129" s="42"/>
    </row>
    <row r="130" spans="25:37" ht="12.75" x14ac:dyDescent="0.35">
      <c r="Y130" s="39"/>
      <c r="Z130" s="39"/>
      <c r="AA130" s="39"/>
      <c r="AB130" s="39"/>
      <c r="AD130" s="40"/>
      <c r="AE130" s="41"/>
      <c r="AF130" s="42"/>
      <c r="AI130" s="49"/>
      <c r="AJ130" s="42"/>
      <c r="AK130" s="42"/>
    </row>
    <row r="131" spans="25:37" ht="12.75" x14ac:dyDescent="0.35">
      <c r="Y131" s="39"/>
      <c r="Z131" s="39"/>
      <c r="AA131" s="39"/>
      <c r="AB131" s="39"/>
      <c r="AD131" s="40"/>
      <c r="AE131" s="41"/>
      <c r="AF131" s="42"/>
      <c r="AI131" s="49"/>
      <c r="AJ131" s="42"/>
      <c r="AK131" s="42"/>
    </row>
    <row r="132" spans="25:37" ht="12.75" x14ac:dyDescent="0.35">
      <c r="Y132" s="39"/>
      <c r="Z132" s="39"/>
      <c r="AA132" s="39"/>
      <c r="AB132" s="39"/>
      <c r="AD132" s="40"/>
      <c r="AE132" s="41"/>
      <c r="AF132" s="42"/>
      <c r="AI132" s="49"/>
      <c r="AJ132" s="42"/>
      <c r="AK132" s="42"/>
    </row>
    <row r="133" spans="25:37" ht="12.75" x14ac:dyDescent="0.35">
      <c r="Y133" s="39"/>
      <c r="Z133" s="39"/>
      <c r="AA133" s="39"/>
      <c r="AB133" s="39"/>
      <c r="AD133" s="40"/>
      <c r="AE133" s="41"/>
      <c r="AF133" s="42"/>
      <c r="AI133" s="49"/>
      <c r="AJ133" s="42"/>
      <c r="AK133" s="42"/>
    </row>
    <row r="134" spans="25:37" ht="12.75" x14ac:dyDescent="0.35">
      <c r="Y134" s="39"/>
      <c r="Z134" s="39"/>
      <c r="AA134" s="39"/>
      <c r="AB134" s="39"/>
      <c r="AD134" s="40"/>
      <c r="AE134" s="41"/>
      <c r="AF134" s="42"/>
      <c r="AI134" s="49"/>
      <c r="AJ134" s="42"/>
      <c r="AK134" s="42"/>
    </row>
    <row r="135" spans="25:37" ht="12.75" x14ac:dyDescent="0.35">
      <c r="Y135" s="39"/>
      <c r="Z135" s="39"/>
      <c r="AA135" s="39"/>
      <c r="AB135" s="39"/>
      <c r="AD135" s="40"/>
      <c r="AE135" s="41"/>
      <c r="AF135" s="42"/>
      <c r="AI135" s="49"/>
      <c r="AJ135" s="42"/>
      <c r="AK135" s="42"/>
    </row>
    <row r="136" spans="25:37" ht="12.75" x14ac:dyDescent="0.35">
      <c r="Y136" s="39"/>
      <c r="Z136" s="39"/>
      <c r="AA136" s="39"/>
      <c r="AB136" s="39"/>
      <c r="AD136" s="40"/>
      <c r="AE136" s="41"/>
      <c r="AF136" s="42"/>
      <c r="AI136" s="49"/>
      <c r="AJ136" s="42"/>
      <c r="AK136" s="42"/>
    </row>
    <row r="137" spans="25:37" ht="12.75" x14ac:dyDescent="0.35">
      <c r="Y137" s="39"/>
      <c r="Z137" s="39"/>
      <c r="AA137" s="39"/>
      <c r="AB137" s="39"/>
      <c r="AD137" s="40"/>
      <c r="AE137" s="41"/>
      <c r="AF137" s="42"/>
      <c r="AI137" s="49"/>
      <c r="AJ137" s="42"/>
      <c r="AK137" s="42"/>
    </row>
    <row r="138" spans="25:37" ht="12.75" x14ac:dyDescent="0.35">
      <c r="Y138" s="39"/>
      <c r="Z138" s="39"/>
      <c r="AA138" s="39"/>
      <c r="AB138" s="39"/>
      <c r="AD138" s="40"/>
      <c r="AE138" s="41"/>
      <c r="AF138" s="42"/>
      <c r="AI138" s="49"/>
      <c r="AJ138" s="42"/>
      <c r="AK138" s="42"/>
    </row>
    <row r="139" spans="25:37" ht="12.75" x14ac:dyDescent="0.35">
      <c r="Y139" s="39"/>
      <c r="Z139" s="39"/>
      <c r="AA139" s="39"/>
      <c r="AB139" s="39"/>
      <c r="AD139" s="40"/>
      <c r="AE139" s="41"/>
      <c r="AF139" s="42"/>
      <c r="AI139" s="49"/>
      <c r="AJ139" s="42"/>
      <c r="AK139" s="42"/>
    </row>
    <row r="140" spans="25:37" ht="12.75" x14ac:dyDescent="0.35">
      <c r="Y140" s="39"/>
      <c r="Z140" s="39"/>
      <c r="AA140" s="39"/>
      <c r="AB140" s="39"/>
      <c r="AD140" s="40"/>
      <c r="AE140" s="41"/>
      <c r="AF140" s="42"/>
      <c r="AI140" s="49"/>
      <c r="AJ140" s="42"/>
      <c r="AK140" s="42"/>
    </row>
    <row r="141" spans="25:37" ht="12.75" x14ac:dyDescent="0.35">
      <c r="Y141" s="39"/>
      <c r="Z141" s="39"/>
      <c r="AA141" s="39"/>
      <c r="AB141" s="39"/>
      <c r="AD141" s="40"/>
      <c r="AE141" s="41"/>
      <c r="AF141" s="42"/>
      <c r="AI141" s="49"/>
      <c r="AJ141" s="42"/>
      <c r="AK141" s="42"/>
    </row>
    <row r="142" spans="25:37" ht="12.75" x14ac:dyDescent="0.35">
      <c r="Y142" s="39"/>
      <c r="Z142" s="39"/>
      <c r="AA142" s="39"/>
      <c r="AB142" s="39"/>
      <c r="AD142" s="40"/>
      <c r="AE142" s="41"/>
      <c r="AF142" s="42"/>
      <c r="AI142" s="49"/>
      <c r="AJ142" s="42"/>
      <c r="AK142" s="42"/>
    </row>
    <row r="143" spans="25:37" ht="12.75" x14ac:dyDescent="0.35">
      <c r="Y143" s="39"/>
      <c r="Z143" s="39"/>
      <c r="AA143" s="39"/>
      <c r="AB143" s="39"/>
      <c r="AD143" s="40"/>
      <c r="AE143" s="41"/>
      <c r="AF143" s="42"/>
      <c r="AI143" s="49"/>
      <c r="AJ143" s="42"/>
      <c r="AK143" s="42"/>
    </row>
    <row r="144" spans="25:37" ht="12.75" x14ac:dyDescent="0.35">
      <c r="Y144" s="39"/>
      <c r="Z144" s="39"/>
      <c r="AA144" s="39"/>
      <c r="AB144" s="39"/>
      <c r="AD144" s="40"/>
      <c r="AE144" s="41"/>
      <c r="AF144" s="42"/>
      <c r="AI144" s="49"/>
      <c r="AJ144" s="42"/>
      <c r="AK144" s="42"/>
    </row>
    <row r="145" spans="25:37" ht="12.75" x14ac:dyDescent="0.35">
      <c r="Y145" s="39"/>
      <c r="Z145" s="39"/>
      <c r="AA145" s="39"/>
      <c r="AB145" s="39"/>
      <c r="AD145" s="40"/>
      <c r="AE145" s="41"/>
      <c r="AF145" s="42"/>
      <c r="AI145" s="49"/>
      <c r="AJ145" s="42"/>
      <c r="AK145" s="42"/>
    </row>
    <row r="146" spans="25:37" ht="12.75" x14ac:dyDescent="0.35">
      <c r="Y146" s="39"/>
      <c r="Z146" s="39"/>
      <c r="AA146" s="39"/>
      <c r="AB146" s="39"/>
      <c r="AD146" s="40"/>
      <c r="AE146" s="41"/>
      <c r="AF146" s="42"/>
      <c r="AI146" s="49"/>
      <c r="AJ146" s="42"/>
      <c r="AK146" s="42"/>
    </row>
    <row r="147" spans="25:37" ht="12.75" x14ac:dyDescent="0.35">
      <c r="Y147" s="39"/>
      <c r="Z147" s="39"/>
      <c r="AA147" s="39"/>
      <c r="AB147" s="39"/>
      <c r="AD147" s="40"/>
      <c r="AE147" s="41"/>
      <c r="AF147" s="42"/>
      <c r="AI147" s="49"/>
      <c r="AJ147" s="42"/>
      <c r="AK147" s="42"/>
    </row>
    <row r="148" spans="25:37" ht="12.75" x14ac:dyDescent="0.35">
      <c r="Y148" s="39"/>
      <c r="Z148" s="39"/>
      <c r="AA148" s="39"/>
      <c r="AB148" s="39"/>
      <c r="AD148" s="40"/>
      <c r="AE148" s="41"/>
      <c r="AF148" s="42"/>
      <c r="AI148" s="49"/>
      <c r="AJ148" s="42"/>
      <c r="AK148" s="42"/>
    </row>
    <row r="149" spans="25:37" ht="12.75" x14ac:dyDescent="0.35">
      <c r="Y149" s="39"/>
      <c r="Z149" s="39"/>
      <c r="AA149" s="39"/>
      <c r="AB149" s="39"/>
      <c r="AD149" s="40"/>
      <c r="AE149" s="41"/>
      <c r="AF149" s="42"/>
      <c r="AI149" s="49"/>
      <c r="AJ149" s="42"/>
      <c r="AK149" s="42"/>
    </row>
    <row r="150" spans="25:37" ht="12.75" x14ac:dyDescent="0.35">
      <c r="Y150" s="39"/>
      <c r="Z150" s="39"/>
      <c r="AA150" s="39"/>
      <c r="AB150" s="39"/>
      <c r="AD150" s="40"/>
      <c r="AE150" s="41"/>
      <c r="AF150" s="42"/>
      <c r="AI150" s="49"/>
      <c r="AJ150" s="42"/>
      <c r="AK150" s="42"/>
    </row>
    <row r="151" spans="25:37" ht="12.75" x14ac:dyDescent="0.35">
      <c r="Y151" s="39"/>
      <c r="Z151" s="39"/>
      <c r="AA151" s="39"/>
      <c r="AB151" s="39"/>
      <c r="AD151" s="40"/>
      <c r="AE151" s="41"/>
      <c r="AF151" s="42"/>
      <c r="AI151" s="49"/>
      <c r="AJ151" s="42"/>
      <c r="AK151" s="42"/>
    </row>
    <row r="152" spans="25:37" ht="12.75" x14ac:dyDescent="0.35">
      <c r="Y152" s="39"/>
      <c r="Z152" s="39"/>
      <c r="AA152" s="39"/>
      <c r="AB152" s="39"/>
      <c r="AD152" s="40"/>
      <c r="AE152" s="41"/>
      <c r="AF152" s="42"/>
      <c r="AI152" s="49"/>
      <c r="AJ152" s="42"/>
      <c r="AK152" s="42"/>
    </row>
    <row r="153" spans="25:37" ht="12.75" x14ac:dyDescent="0.35">
      <c r="Y153" s="39"/>
      <c r="Z153" s="39"/>
      <c r="AA153" s="39"/>
      <c r="AB153" s="39"/>
      <c r="AD153" s="40"/>
      <c r="AE153" s="41"/>
      <c r="AF153" s="42"/>
      <c r="AI153" s="49"/>
      <c r="AJ153" s="42"/>
      <c r="AK153" s="42"/>
    </row>
    <row r="154" spans="25:37" ht="12.75" x14ac:dyDescent="0.35">
      <c r="Y154" s="39"/>
      <c r="Z154" s="39"/>
      <c r="AA154" s="39"/>
      <c r="AB154" s="39"/>
      <c r="AD154" s="40"/>
      <c r="AE154" s="41"/>
      <c r="AF154" s="42"/>
      <c r="AI154" s="49"/>
      <c r="AJ154" s="42"/>
      <c r="AK154" s="42"/>
    </row>
    <row r="155" spans="25:37" ht="12.75" x14ac:dyDescent="0.35">
      <c r="Y155" s="39"/>
      <c r="Z155" s="39"/>
      <c r="AA155" s="39"/>
      <c r="AB155" s="39"/>
      <c r="AD155" s="40"/>
      <c r="AE155" s="41"/>
      <c r="AF155" s="42"/>
      <c r="AI155" s="49"/>
      <c r="AJ155" s="42"/>
      <c r="AK155" s="42"/>
    </row>
    <row r="156" spans="25:37" ht="12.75" x14ac:dyDescent="0.35">
      <c r="Y156" s="39"/>
      <c r="Z156" s="39"/>
      <c r="AA156" s="39"/>
      <c r="AB156" s="39"/>
      <c r="AD156" s="40"/>
      <c r="AE156" s="41"/>
      <c r="AF156" s="42"/>
      <c r="AI156" s="49"/>
      <c r="AJ156" s="42"/>
      <c r="AK156" s="42"/>
    </row>
    <row r="157" spans="25:37" ht="12.75" x14ac:dyDescent="0.35">
      <c r="Y157" s="39"/>
      <c r="Z157" s="39"/>
      <c r="AA157" s="39"/>
      <c r="AB157" s="39"/>
      <c r="AD157" s="40"/>
      <c r="AE157" s="41"/>
      <c r="AF157" s="42"/>
      <c r="AI157" s="49"/>
      <c r="AJ157" s="42"/>
      <c r="AK157" s="42"/>
    </row>
    <row r="158" spans="25:37" ht="12.75" x14ac:dyDescent="0.35">
      <c r="Y158" s="39"/>
      <c r="Z158" s="39"/>
      <c r="AA158" s="39"/>
      <c r="AB158" s="39"/>
      <c r="AD158" s="40"/>
      <c r="AE158" s="41"/>
      <c r="AF158" s="42"/>
      <c r="AI158" s="49"/>
      <c r="AJ158" s="42"/>
      <c r="AK158" s="42"/>
    </row>
    <row r="159" spans="25:37" ht="12.75" x14ac:dyDescent="0.35">
      <c r="Y159" s="39"/>
      <c r="Z159" s="39"/>
      <c r="AA159" s="39"/>
      <c r="AB159" s="39"/>
      <c r="AD159" s="40"/>
      <c r="AE159" s="41"/>
      <c r="AF159" s="42"/>
      <c r="AI159" s="49"/>
      <c r="AJ159" s="42"/>
      <c r="AK159" s="42"/>
    </row>
    <row r="160" spans="25:37" ht="12.75" x14ac:dyDescent="0.35">
      <c r="Y160" s="39"/>
      <c r="Z160" s="39"/>
      <c r="AA160" s="39"/>
      <c r="AB160" s="39"/>
      <c r="AD160" s="40"/>
      <c r="AE160" s="41"/>
      <c r="AF160" s="42"/>
      <c r="AI160" s="49"/>
      <c r="AJ160" s="42"/>
      <c r="AK160" s="42"/>
    </row>
    <row r="161" spans="25:37" ht="12.75" x14ac:dyDescent="0.35">
      <c r="Y161" s="39"/>
      <c r="Z161" s="39"/>
      <c r="AA161" s="39"/>
      <c r="AB161" s="39"/>
      <c r="AD161" s="40"/>
      <c r="AE161" s="41"/>
      <c r="AF161" s="42"/>
      <c r="AI161" s="49"/>
      <c r="AJ161" s="42"/>
      <c r="AK161" s="42"/>
    </row>
    <row r="162" spans="25:37" ht="12.75" x14ac:dyDescent="0.35">
      <c r="Y162" s="39"/>
      <c r="Z162" s="39"/>
      <c r="AA162" s="39"/>
      <c r="AB162" s="39"/>
      <c r="AD162" s="40"/>
      <c r="AE162" s="41"/>
      <c r="AF162" s="42"/>
      <c r="AI162" s="49"/>
      <c r="AJ162" s="42"/>
      <c r="AK162" s="42"/>
    </row>
    <row r="163" spans="25:37" ht="12.75" x14ac:dyDescent="0.35">
      <c r="Y163" s="39"/>
      <c r="Z163" s="39"/>
      <c r="AA163" s="39"/>
      <c r="AB163" s="39"/>
      <c r="AD163" s="40"/>
      <c r="AE163" s="41"/>
      <c r="AF163" s="42"/>
      <c r="AI163" s="49"/>
      <c r="AJ163" s="42"/>
      <c r="AK163" s="42"/>
    </row>
    <row r="164" spans="25:37" ht="12.75" x14ac:dyDescent="0.35">
      <c r="Y164" s="39"/>
      <c r="Z164" s="39"/>
      <c r="AA164" s="39"/>
      <c r="AB164" s="39"/>
      <c r="AD164" s="40"/>
      <c r="AE164" s="41"/>
      <c r="AF164" s="42"/>
      <c r="AI164" s="49"/>
      <c r="AJ164" s="42"/>
      <c r="AK164" s="42"/>
    </row>
    <row r="165" spans="25:37" ht="12.75" x14ac:dyDescent="0.35">
      <c r="Y165" s="39"/>
      <c r="Z165" s="39"/>
      <c r="AA165" s="39"/>
      <c r="AB165" s="39"/>
      <c r="AD165" s="40"/>
      <c r="AE165" s="41"/>
      <c r="AF165" s="42"/>
      <c r="AI165" s="49"/>
      <c r="AJ165" s="42"/>
      <c r="AK165" s="42"/>
    </row>
    <row r="166" spans="25:37" ht="12.75" x14ac:dyDescent="0.35">
      <c r="Y166" s="39"/>
      <c r="Z166" s="39"/>
      <c r="AA166" s="39"/>
      <c r="AB166" s="39"/>
      <c r="AD166" s="40"/>
      <c r="AE166" s="41"/>
      <c r="AF166" s="42"/>
      <c r="AI166" s="49"/>
      <c r="AJ166" s="42"/>
      <c r="AK166" s="42"/>
    </row>
    <row r="167" spans="25:37" ht="12.75" x14ac:dyDescent="0.35">
      <c r="Y167" s="39"/>
      <c r="Z167" s="39"/>
      <c r="AA167" s="39"/>
      <c r="AB167" s="39"/>
      <c r="AD167" s="40"/>
      <c r="AE167" s="41"/>
      <c r="AF167" s="42"/>
      <c r="AI167" s="49"/>
      <c r="AJ167" s="42"/>
      <c r="AK167" s="42"/>
    </row>
    <row r="168" spans="25:37" ht="12.75" x14ac:dyDescent="0.35">
      <c r="Y168" s="39"/>
      <c r="Z168" s="39"/>
      <c r="AA168" s="39"/>
      <c r="AB168" s="39"/>
      <c r="AD168" s="40"/>
      <c r="AE168" s="41"/>
      <c r="AF168" s="42"/>
      <c r="AI168" s="49"/>
      <c r="AJ168" s="42"/>
      <c r="AK168" s="42"/>
    </row>
    <row r="169" spans="25:37" ht="12.75" x14ac:dyDescent="0.35">
      <c r="Y169" s="39"/>
      <c r="Z169" s="39"/>
      <c r="AA169" s="39"/>
      <c r="AB169" s="39"/>
      <c r="AD169" s="40"/>
      <c r="AE169" s="41"/>
      <c r="AF169" s="42"/>
      <c r="AI169" s="49"/>
      <c r="AJ169" s="42"/>
      <c r="AK169" s="42"/>
    </row>
    <row r="170" spans="25:37" ht="12.75" x14ac:dyDescent="0.35">
      <c r="Y170" s="39"/>
      <c r="Z170" s="39"/>
      <c r="AA170" s="39"/>
      <c r="AB170" s="39"/>
      <c r="AD170" s="40"/>
      <c r="AE170" s="41"/>
      <c r="AF170" s="42"/>
      <c r="AI170" s="49"/>
      <c r="AJ170" s="42"/>
      <c r="AK170" s="42"/>
    </row>
    <row r="171" spans="25:37" ht="12.75" x14ac:dyDescent="0.35">
      <c r="Y171" s="39"/>
      <c r="Z171" s="39"/>
      <c r="AA171" s="39"/>
      <c r="AB171" s="39"/>
      <c r="AD171" s="40"/>
      <c r="AE171" s="41"/>
      <c r="AF171" s="42"/>
      <c r="AI171" s="49"/>
      <c r="AJ171" s="42"/>
      <c r="AK171" s="42"/>
    </row>
    <row r="172" spans="25:37" ht="12.75" x14ac:dyDescent="0.35">
      <c r="Y172" s="39"/>
      <c r="Z172" s="39"/>
      <c r="AA172" s="39"/>
      <c r="AB172" s="39"/>
      <c r="AD172" s="40"/>
      <c r="AE172" s="41"/>
      <c r="AF172" s="42"/>
      <c r="AI172" s="49"/>
      <c r="AJ172" s="42"/>
      <c r="AK172" s="42"/>
    </row>
    <row r="173" spans="25:37" ht="12.75" x14ac:dyDescent="0.35">
      <c r="Y173" s="39"/>
      <c r="Z173" s="39"/>
      <c r="AA173" s="39"/>
      <c r="AB173" s="39"/>
      <c r="AD173" s="40"/>
      <c r="AE173" s="41"/>
      <c r="AF173" s="42"/>
      <c r="AI173" s="49"/>
      <c r="AJ173" s="42"/>
      <c r="AK173" s="42"/>
    </row>
    <row r="174" spans="25:37" ht="12.75" x14ac:dyDescent="0.35">
      <c r="Y174" s="39"/>
      <c r="Z174" s="39"/>
      <c r="AA174" s="39"/>
      <c r="AB174" s="39"/>
      <c r="AD174" s="40"/>
      <c r="AE174" s="41"/>
      <c r="AF174" s="42"/>
      <c r="AI174" s="49"/>
      <c r="AJ174" s="42"/>
      <c r="AK174" s="42"/>
    </row>
    <row r="175" spans="25:37" ht="12.75" x14ac:dyDescent="0.35">
      <c r="Y175" s="39"/>
      <c r="Z175" s="39"/>
      <c r="AA175" s="39"/>
      <c r="AB175" s="39"/>
      <c r="AD175" s="40"/>
      <c r="AE175" s="41"/>
      <c r="AF175" s="42"/>
      <c r="AI175" s="49"/>
      <c r="AJ175" s="42"/>
      <c r="AK175" s="42"/>
    </row>
    <row r="176" spans="25:37" ht="12.75" x14ac:dyDescent="0.35">
      <c r="Y176" s="39"/>
      <c r="Z176" s="39"/>
      <c r="AA176" s="39"/>
      <c r="AB176" s="39"/>
      <c r="AD176" s="40"/>
      <c r="AE176" s="41"/>
      <c r="AF176" s="42"/>
      <c r="AI176" s="49"/>
      <c r="AJ176" s="42"/>
      <c r="AK176" s="42"/>
    </row>
    <row r="177" spans="25:37" ht="12.75" x14ac:dyDescent="0.35">
      <c r="Y177" s="39"/>
      <c r="Z177" s="39"/>
      <c r="AA177" s="39"/>
      <c r="AB177" s="39"/>
      <c r="AD177" s="40"/>
      <c r="AE177" s="41"/>
      <c r="AF177" s="42"/>
      <c r="AI177" s="49"/>
      <c r="AJ177" s="42"/>
      <c r="AK177" s="42"/>
    </row>
    <row r="178" spans="25:37" ht="12.75" x14ac:dyDescent="0.35">
      <c r="Y178" s="39"/>
      <c r="Z178" s="39"/>
      <c r="AA178" s="39"/>
      <c r="AB178" s="39"/>
      <c r="AD178" s="40"/>
      <c r="AE178" s="41"/>
      <c r="AF178" s="42"/>
      <c r="AI178" s="49"/>
      <c r="AJ178" s="42"/>
      <c r="AK178" s="42"/>
    </row>
    <row r="179" spans="25:37" ht="12.75" x14ac:dyDescent="0.35">
      <c r="Y179" s="39"/>
      <c r="Z179" s="39"/>
      <c r="AA179" s="39"/>
      <c r="AB179" s="39"/>
      <c r="AD179" s="40"/>
      <c r="AE179" s="41"/>
      <c r="AF179" s="42"/>
      <c r="AI179" s="49"/>
      <c r="AJ179" s="42"/>
      <c r="AK179" s="42"/>
    </row>
    <row r="180" spans="25:37" ht="12.75" x14ac:dyDescent="0.35">
      <c r="Y180" s="39"/>
      <c r="Z180" s="39"/>
      <c r="AA180" s="39"/>
      <c r="AB180" s="39"/>
      <c r="AD180" s="40"/>
      <c r="AE180" s="41"/>
      <c r="AF180" s="42"/>
      <c r="AI180" s="49"/>
      <c r="AJ180" s="42"/>
      <c r="AK180" s="42"/>
    </row>
    <row r="181" spans="25:37" ht="12.75" x14ac:dyDescent="0.35">
      <c r="Y181" s="39"/>
      <c r="Z181" s="39"/>
      <c r="AA181" s="39"/>
      <c r="AB181" s="39"/>
      <c r="AD181" s="40"/>
      <c r="AE181" s="41"/>
      <c r="AF181" s="42"/>
      <c r="AI181" s="49"/>
      <c r="AJ181" s="42"/>
      <c r="AK181" s="42"/>
    </row>
    <row r="182" spans="25:37" ht="12.75" x14ac:dyDescent="0.35">
      <c r="Y182" s="39"/>
      <c r="Z182" s="39"/>
      <c r="AA182" s="39"/>
      <c r="AB182" s="39"/>
      <c r="AD182" s="40"/>
      <c r="AE182" s="41"/>
      <c r="AF182" s="42"/>
      <c r="AI182" s="49"/>
      <c r="AJ182" s="42"/>
      <c r="AK182" s="42"/>
    </row>
    <row r="183" spans="25:37" ht="12.75" x14ac:dyDescent="0.35">
      <c r="Y183" s="39"/>
      <c r="Z183" s="39"/>
      <c r="AA183" s="39"/>
      <c r="AB183" s="39"/>
      <c r="AD183" s="40"/>
      <c r="AE183" s="41"/>
      <c r="AF183" s="42"/>
      <c r="AI183" s="49"/>
      <c r="AJ183" s="42"/>
      <c r="AK183" s="42"/>
    </row>
    <row r="184" spans="25:37" ht="12.75" x14ac:dyDescent="0.35">
      <c r="Y184" s="39"/>
      <c r="Z184" s="39"/>
      <c r="AA184" s="39"/>
      <c r="AB184" s="39"/>
      <c r="AD184" s="40"/>
      <c r="AE184" s="41"/>
      <c r="AF184" s="42"/>
      <c r="AI184" s="49"/>
      <c r="AJ184" s="42"/>
      <c r="AK184" s="42"/>
    </row>
    <row r="185" spans="25:37" ht="12.75" x14ac:dyDescent="0.35">
      <c r="Y185" s="39"/>
      <c r="Z185" s="39"/>
      <c r="AA185" s="39"/>
      <c r="AB185" s="39"/>
      <c r="AD185" s="40"/>
      <c r="AE185" s="41"/>
      <c r="AF185" s="42"/>
      <c r="AI185" s="49"/>
      <c r="AJ185" s="42"/>
      <c r="AK185" s="42"/>
    </row>
    <row r="186" spans="25:37" ht="12.75" x14ac:dyDescent="0.35">
      <c r="Y186" s="39"/>
      <c r="Z186" s="39"/>
      <c r="AA186" s="39"/>
      <c r="AB186" s="39"/>
      <c r="AD186" s="40"/>
      <c r="AE186" s="41"/>
      <c r="AF186" s="42"/>
      <c r="AI186" s="49"/>
      <c r="AJ186" s="42"/>
      <c r="AK186" s="42"/>
    </row>
    <row r="187" spans="25:37" ht="12.75" x14ac:dyDescent="0.35">
      <c r="Y187" s="39"/>
      <c r="Z187" s="39"/>
      <c r="AA187" s="39"/>
      <c r="AB187" s="39"/>
      <c r="AD187" s="40"/>
      <c r="AE187" s="41"/>
      <c r="AF187" s="42"/>
      <c r="AI187" s="49"/>
      <c r="AJ187" s="42"/>
      <c r="AK187" s="42"/>
    </row>
    <row r="188" spans="25:37" ht="12.75" x14ac:dyDescent="0.35">
      <c r="Y188" s="39"/>
      <c r="Z188" s="39"/>
      <c r="AA188" s="39"/>
      <c r="AB188" s="39"/>
      <c r="AD188" s="40"/>
      <c r="AE188" s="41"/>
      <c r="AF188" s="42"/>
      <c r="AI188" s="49"/>
      <c r="AJ188" s="42"/>
      <c r="AK188" s="42"/>
    </row>
    <row r="189" spans="25:37" ht="12.75" x14ac:dyDescent="0.35">
      <c r="Y189" s="39"/>
      <c r="Z189" s="39"/>
      <c r="AA189" s="39"/>
      <c r="AB189" s="39"/>
      <c r="AD189" s="40"/>
      <c r="AE189" s="41"/>
      <c r="AF189" s="42"/>
      <c r="AI189" s="49"/>
      <c r="AJ189" s="42"/>
      <c r="AK189" s="42"/>
    </row>
    <row r="190" spans="25:37" ht="12.75" x14ac:dyDescent="0.35">
      <c r="Y190" s="39"/>
      <c r="Z190" s="39"/>
      <c r="AA190" s="39"/>
      <c r="AB190" s="39"/>
      <c r="AD190" s="40"/>
      <c r="AE190" s="41"/>
      <c r="AF190" s="42"/>
      <c r="AI190" s="49"/>
      <c r="AJ190" s="42"/>
      <c r="AK190" s="42"/>
    </row>
    <row r="191" spans="25:37" ht="12.75" x14ac:dyDescent="0.35">
      <c r="Y191" s="39"/>
      <c r="Z191" s="39"/>
      <c r="AA191" s="39"/>
      <c r="AB191" s="39"/>
      <c r="AD191" s="40"/>
      <c r="AE191" s="41"/>
      <c r="AF191" s="42"/>
      <c r="AI191" s="49"/>
      <c r="AJ191" s="42"/>
      <c r="AK191" s="42"/>
    </row>
    <row r="192" spans="25:37" ht="12.75" x14ac:dyDescent="0.35">
      <c r="Y192" s="39"/>
      <c r="Z192" s="39"/>
      <c r="AA192" s="39"/>
      <c r="AB192" s="39"/>
      <c r="AD192" s="40"/>
      <c r="AE192" s="41"/>
      <c r="AF192" s="42"/>
      <c r="AI192" s="49"/>
      <c r="AJ192" s="42"/>
      <c r="AK192" s="42"/>
    </row>
    <row r="193" spans="25:37" ht="12.75" x14ac:dyDescent="0.35">
      <c r="Y193" s="39"/>
      <c r="Z193" s="39"/>
      <c r="AA193" s="39"/>
      <c r="AB193" s="39"/>
      <c r="AD193" s="40"/>
      <c r="AE193" s="41"/>
      <c r="AF193" s="42"/>
      <c r="AI193" s="49"/>
      <c r="AJ193" s="42"/>
      <c r="AK193" s="42"/>
    </row>
    <row r="194" spans="25:37" ht="12.75" x14ac:dyDescent="0.35">
      <c r="Y194" s="39"/>
      <c r="Z194" s="39"/>
      <c r="AA194" s="39"/>
      <c r="AB194" s="39"/>
      <c r="AD194" s="40"/>
      <c r="AE194" s="41"/>
      <c r="AF194" s="42"/>
      <c r="AI194" s="49"/>
      <c r="AJ194" s="42"/>
      <c r="AK194" s="42"/>
    </row>
    <row r="195" spans="25:37" ht="12.75" x14ac:dyDescent="0.35">
      <c r="Y195" s="39"/>
      <c r="Z195" s="39"/>
      <c r="AA195" s="39"/>
      <c r="AB195" s="39"/>
      <c r="AD195" s="40"/>
      <c r="AE195" s="41"/>
      <c r="AF195" s="42"/>
      <c r="AI195" s="49"/>
      <c r="AJ195" s="42"/>
      <c r="AK195" s="42"/>
    </row>
    <row r="196" spans="25:37" ht="12.75" x14ac:dyDescent="0.35">
      <c r="Y196" s="39"/>
      <c r="Z196" s="39"/>
      <c r="AA196" s="39"/>
      <c r="AB196" s="39"/>
      <c r="AD196" s="40"/>
      <c r="AE196" s="41"/>
      <c r="AF196" s="42"/>
      <c r="AI196" s="49"/>
      <c r="AJ196" s="42"/>
      <c r="AK196" s="42"/>
    </row>
    <row r="197" spans="25:37" ht="12.75" x14ac:dyDescent="0.35">
      <c r="Y197" s="39"/>
      <c r="Z197" s="39"/>
      <c r="AA197" s="39"/>
      <c r="AB197" s="39"/>
      <c r="AD197" s="40"/>
      <c r="AE197" s="41"/>
      <c r="AF197" s="42"/>
      <c r="AI197" s="49"/>
      <c r="AJ197" s="42"/>
      <c r="AK197" s="42"/>
    </row>
    <row r="198" spans="25:37" ht="12.75" x14ac:dyDescent="0.35">
      <c r="Y198" s="39"/>
      <c r="Z198" s="39"/>
      <c r="AA198" s="39"/>
      <c r="AB198" s="39"/>
      <c r="AD198" s="40"/>
      <c r="AE198" s="41"/>
      <c r="AF198" s="42"/>
      <c r="AI198" s="49"/>
      <c r="AJ198" s="42"/>
      <c r="AK198" s="42"/>
    </row>
    <row r="199" spans="25:37" ht="12.75" x14ac:dyDescent="0.35">
      <c r="Y199" s="39"/>
      <c r="Z199" s="39"/>
      <c r="AA199" s="39"/>
      <c r="AB199" s="39"/>
      <c r="AD199" s="40"/>
      <c r="AE199" s="41"/>
      <c r="AF199" s="42"/>
      <c r="AI199" s="49"/>
      <c r="AJ199" s="42"/>
      <c r="AK199" s="42"/>
    </row>
    <row r="200" spans="25:37" ht="12.75" x14ac:dyDescent="0.35">
      <c r="Y200" s="39"/>
      <c r="Z200" s="39"/>
      <c r="AA200" s="39"/>
      <c r="AB200" s="39"/>
      <c r="AD200" s="40"/>
      <c r="AE200" s="41"/>
      <c r="AF200" s="42"/>
      <c r="AI200" s="49"/>
      <c r="AJ200" s="42"/>
      <c r="AK200" s="42"/>
    </row>
    <row r="201" spans="25:37" ht="12.75" x14ac:dyDescent="0.35">
      <c r="Y201" s="39"/>
      <c r="Z201" s="39"/>
      <c r="AA201" s="39"/>
      <c r="AB201" s="39"/>
      <c r="AD201" s="40"/>
      <c r="AE201" s="41"/>
      <c r="AF201" s="42"/>
      <c r="AI201" s="49"/>
      <c r="AJ201" s="42"/>
      <c r="AK201" s="42"/>
    </row>
    <row r="202" spans="25:37" ht="12.75" x14ac:dyDescent="0.35">
      <c r="Y202" s="39"/>
      <c r="Z202" s="39"/>
      <c r="AA202" s="39"/>
      <c r="AB202" s="39"/>
      <c r="AD202" s="40"/>
      <c r="AE202" s="41"/>
      <c r="AF202" s="42"/>
      <c r="AI202" s="49"/>
      <c r="AJ202" s="42"/>
      <c r="AK202" s="42"/>
    </row>
    <row r="203" spans="25:37" ht="12.75" x14ac:dyDescent="0.35">
      <c r="Y203" s="39"/>
      <c r="Z203" s="39"/>
      <c r="AA203" s="39"/>
      <c r="AB203" s="39"/>
      <c r="AD203" s="40"/>
      <c r="AE203" s="41"/>
      <c r="AF203" s="42"/>
      <c r="AI203" s="49"/>
      <c r="AJ203" s="42"/>
      <c r="AK203" s="42"/>
    </row>
    <row r="204" spans="25:37" ht="12.75" x14ac:dyDescent="0.35">
      <c r="Y204" s="39"/>
      <c r="Z204" s="39"/>
      <c r="AA204" s="39"/>
      <c r="AB204" s="39"/>
      <c r="AD204" s="40"/>
      <c r="AE204" s="41"/>
      <c r="AF204" s="42"/>
      <c r="AI204" s="49"/>
      <c r="AJ204" s="42"/>
      <c r="AK204" s="42"/>
    </row>
    <row r="205" spans="25:37" ht="12.75" x14ac:dyDescent="0.35">
      <c r="Y205" s="39"/>
      <c r="Z205" s="39"/>
      <c r="AA205" s="39"/>
      <c r="AB205" s="39"/>
      <c r="AD205" s="40"/>
      <c r="AE205" s="41"/>
      <c r="AF205" s="42"/>
      <c r="AI205" s="49"/>
      <c r="AJ205" s="42"/>
      <c r="AK205" s="42"/>
    </row>
    <row r="206" spans="25:37" ht="12.75" x14ac:dyDescent="0.35">
      <c r="Y206" s="39"/>
      <c r="Z206" s="39"/>
      <c r="AA206" s="39"/>
      <c r="AB206" s="39"/>
      <c r="AD206" s="40"/>
      <c r="AE206" s="41"/>
      <c r="AF206" s="42"/>
      <c r="AI206" s="49"/>
      <c r="AJ206" s="42"/>
      <c r="AK206" s="42"/>
    </row>
    <row r="207" spans="25:37" ht="12.75" x14ac:dyDescent="0.35">
      <c r="Y207" s="39"/>
      <c r="Z207" s="39"/>
      <c r="AA207" s="39"/>
      <c r="AB207" s="39"/>
      <c r="AD207" s="40"/>
      <c r="AE207" s="41"/>
      <c r="AF207" s="42"/>
      <c r="AI207" s="49"/>
      <c r="AJ207" s="42"/>
      <c r="AK207" s="42"/>
    </row>
    <row r="208" spans="25:37" ht="12.75" x14ac:dyDescent="0.35">
      <c r="Y208" s="39"/>
      <c r="Z208" s="39"/>
      <c r="AA208" s="39"/>
      <c r="AB208" s="39"/>
      <c r="AD208" s="40"/>
      <c r="AE208" s="41"/>
      <c r="AF208" s="42"/>
      <c r="AI208" s="49"/>
      <c r="AJ208" s="42"/>
      <c r="AK208" s="42"/>
    </row>
    <row r="209" spans="25:37" ht="12.75" x14ac:dyDescent="0.35">
      <c r="Y209" s="39"/>
      <c r="Z209" s="39"/>
      <c r="AA209" s="39"/>
      <c r="AB209" s="39"/>
      <c r="AD209" s="40"/>
      <c r="AE209" s="41"/>
      <c r="AF209" s="42"/>
      <c r="AI209" s="49"/>
      <c r="AJ209" s="42"/>
      <c r="AK209" s="42"/>
    </row>
    <row r="210" spans="25:37" ht="12.75" x14ac:dyDescent="0.35">
      <c r="Y210" s="39"/>
      <c r="Z210" s="39"/>
      <c r="AA210" s="39"/>
      <c r="AB210" s="39"/>
      <c r="AD210" s="40"/>
      <c r="AE210" s="41"/>
      <c r="AF210" s="42"/>
      <c r="AI210" s="49"/>
      <c r="AJ210" s="42"/>
      <c r="AK210" s="42"/>
    </row>
    <row r="211" spans="25:37" ht="12.75" x14ac:dyDescent="0.35">
      <c r="Y211" s="39"/>
      <c r="Z211" s="39"/>
      <c r="AA211" s="39"/>
      <c r="AB211" s="39"/>
      <c r="AD211" s="40"/>
      <c r="AE211" s="41"/>
      <c r="AF211" s="42"/>
      <c r="AI211" s="49"/>
      <c r="AJ211" s="42"/>
      <c r="AK211" s="42"/>
    </row>
    <row r="212" spans="25:37" ht="12.75" x14ac:dyDescent="0.35">
      <c r="Y212" s="39"/>
      <c r="Z212" s="39"/>
      <c r="AA212" s="39"/>
      <c r="AB212" s="39"/>
      <c r="AD212" s="40"/>
      <c r="AE212" s="41"/>
      <c r="AF212" s="42"/>
      <c r="AI212" s="49"/>
      <c r="AJ212" s="42"/>
      <c r="AK212" s="42"/>
    </row>
    <row r="213" spans="25:37" ht="12.75" x14ac:dyDescent="0.35">
      <c r="Y213" s="39"/>
      <c r="Z213" s="39"/>
      <c r="AA213" s="39"/>
      <c r="AB213" s="39"/>
      <c r="AD213" s="40"/>
      <c r="AE213" s="41"/>
      <c r="AF213" s="42"/>
      <c r="AI213" s="49"/>
      <c r="AJ213" s="42"/>
      <c r="AK213" s="42"/>
    </row>
    <row r="214" spans="25:37" ht="12.75" x14ac:dyDescent="0.35">
      <c r="Y214" s="39"/>
      <c r="Z214" s="39"/>
      <c r="AA214" s="39"/>
      <c r="AB214" s="39"/>
      <c r="AD214" s="40"/>
      <c r="AE214" s="41"/>
      <c r="AF214" s="42"/>
      <c r="AI214" s="49"/>
      <c r="AJ214" s="42"/>
      <c r="AK214" s="42"/>
    </row>
    <row r="215" spans="25:37" ht="12.75" x14ac:dyDescent="0.35">
      <c r="Y215" s="39"/>
      <c r="Z215" s="39"/>
      <c r="AA215" s="39"/>
      <c r="AB215" s="39"/>
      <c r="AD215" s="40"/>
      <c r="AE215" s="41"/>
      <c r="AF215" s="42"/>
      <c r="AI215" s="49"/>
      <c r="AJ215" s="42"/>
      <c r="AK215" s="42"/>
    </row>
    <row r="216" spans="25:37" ht="12.75" x14ac:dyDescent="0.35">
      <c r="Y216" s="39"/>
      <c r="Z216" s="39"/>
      <c r="AA216" s="39"/>
      <c r="AB216" s="39"/>
      <c r="AD216" s="40"/>
      <c r="AE216" s="41"/>
      <c r="AF216" s="42"/>
      <c r="AI216" s="49"/>
      <c r="AJ216" s="42"/>
      <c r="AK216" s="42"/>
    </row>
    <row r="217" spans="25:37" ht="12.75" x14ac:dyDescent="0.35">
      <c r="Y217" s="39"/>
      <c r="Z217" s="39"/>
      <c r="AA217" s="39"/>
      <c r="AB217" s="39"/>
      <c r="AD217" s="40"/>
      <c r="AE217" s="41"/>
      <c r="AF217" s="42"/>
      <c r="AI217" s="49"/>
      <c r="AJ217" s="42"/>
      <c r="AK217" s="42"/>
    </row>
    <row r="218" spans="25:37" ht="12.75" x14ac:dyDescent="0.35">
      <c r="Y218" s="39"/>
      <c r="Z218" s="39"/>
      <c r="AA218" s="39"/>
      <c r="AB218" s="39"/>
      <c r="AD218" s="40"/>
      <c r="AE218" s="41"/>
      <c r="AF218" s="42"/>
      <c r="AI218" s="49"/>
      <c r="AJ218" s="42"/>
      <c r="AK218" s="42"/>
    </row>
    <row r="219" spans="25:37" ht="12.75" x14ac:dyDescent="0.35">
      <c r="Y219" s="39"/>
      <c r="Z219" s="39"/>
      <c r="AA219" s="39"/>
      <c r="AB219" s="39"/>
      <c r="AD219" s="40"/>
      <c r="AE219" s="41"/>
      <c r="AF219" s="42"/>
      <c r="AI219" s="49"/>
      <c r="AJ219" s="42"/>
      <c r="AK219" s="42"/>
    </row>
    <row r="220" spans="25:37" ht="12.75" x14ac:dyDescent="0.35">
      <c r="Y220" s="39"/>
      <c r="Z220" s="39"/>
      <c r="AA220" s="39"/>
      <c r="AB220" s="39"/>
      <c r="AD220" s="40"/>
      <c r="AE220" s="41"/>
      <c r="AF220" s="42"/>
      <c r="AI220" s="49"/>
      <c r="AJ220" s="42"/>
      <c r="AK220" s="42"/>
    </row>
    <row r="221" spans="25:37" ht="12.75" x14ac:dyDescent="0.35">
      <c r="Y221" s="39"/>
      <c r="Z221" s="39"/>
      <c r="AA221" s="39"/>
      <c r="AB221" s="39"/>
      <c r="AD221" s="40"/>
      <c r="AE221" s="41"/>
      <c r="AF221" s="42"/>
      <c r="AI221" s="49"/>
      <c r="AJ221" s="42"/>
      <c r="AK221" s="42"/>
    </row>
    <row r="222" spans="25:37" ht="12.75" x14ac:dyDescent="0.35">
      <c r="Y222" s="39"/>
      <c r="Z222" s="39"/>
      <c r="AA222" s="39"/>
      <c r="AB222" s="39"/>
      <c r="AD222" s="40"/>
      <c r="AE222" s="41"/>
      <c r="AF222" s="42"/>
      <c r="AI222" s="49"/>
      <c r="AJ222" s="42"/>
      <c r="AK222" s="42"/>
    </row>
    <row r="223" spans="25:37" ht="12.75" x14ac:dyDescent="0.35">
      <c r="Y223" s="39"/>
      <c r="Z223" s="39"/>
      <c r="AA223" s="39"/>
      <c r="AB223" s="39"/>
      <c r="AD223" s="40"/>
      <c r="AE223" s="41"/>
      <c r="AF223" s="42"/>
      <c r="AI223" s="49"/>
      <c r="AJ223" s="42"/>
      <c r="AK223" s="42"/>
    </row>
    <row r="224" spans="25:37" ht="12.75" x14ac:dyDescent="0.35">
      <c r="Y224" s="39"/>
      <c r="Z224" s="39"/>
      <c r="AA224" s="39"/>
      <c r="AB224" s="39"/>
      <c r="AD224" s="40"/>
      <c r="AE224" s="41"/>
      <c r="AF224" s="42"/>
      <c r="AI224" s="49"/>
      <c r="AJ224" s="42"/>
      <c r="AK224" s="42"/>
    </row>
    <row r="225" spans="25:37" ht="12.75" x14ac:dyDescent="0.35">
      <c r="Y225" s="39"/>
      <c r="Z225" s="39"/>
      <c r="AA225" s="39"/>
      <c r="AB225" s="39"/>
      <c r="AD225" s="40"/>
      <c r="AE225" s="41"/>
      <c r="AF225" s="42"/>
      <c r="AI225" s="49"/>
      <c r="AJ225" s="42"/>
      <c r="AK225" s="42"/>
    </row>
    <row r="226" spans="25:37" ht="12.75" x14ac:dyDescent="0.35">
      <c r="Y226" s="39"/>
      <c r="Z226" s="39"/>
      <c r="AA226" s="39"/>
      <c r="AB226" s="39"/>
      <c r="AD226" s="40"/>
      <c r="AE226" s="41"/>
      <c r="AF226" s="42"/>
      <c r="AI226" s="49"/>
      <c r="AJ226" s="42"/>
      <c r="AK226" s="42"/>
    </row>
    <row r="227" spans="25:37" ht="12.75" x14ac:dyDescent="0.35">
      <c r="Y227" s="39"/>
      <c r="Z227" s="39"/>
      <c r="AA227" s="39"/>
      <c r="AB227" s="39"/>
      <c r="AD227" s="40"/>
      <c r="AE227" s="41"/>
      <c r="AF227" s="42"/>
      <c r="AI227" s="49"/>
      <c r="AJ227" s="42"/>
      <c r="AK227" s="42"/>
    </row>
    <row r="228" spans="25:37" ht="12.75" x14ac:dyDescent="0.35">
      <c r="Y228" s="39"/>
      <c r="Z228" s="39"/>
      <c r="AA228" s="39"/>
      <c r="AB228" s="39"/>
      <c r="AD228" s="40"/>
      <c r="AE228" s="41"/>
      <c r="AF228" s="42"/>
      <c r="AI228" s="49"/>
      <c r="AJ228" s="42"/>
      <c r="AK228" s="42"/>
    </row>
    <row r="229" spans="25:37" ht="12.75" x14ac:dyDescent="0.35">
      <c r="Y229" s="39"/>
      <c r="Z229" s="39"/>
      <c r="AA229" s="39"/>
      <c r="AB229" s="39"/>
      <c r="AD229" s="40"/>
      <c r="AE229" s="41"/>
      <c r="AF229" s="42"/>
      <c r="AI229" s="49"/>
      <c r="AJ229" s="42"/>
      <c r="AK229" s="42"/>
    </row>
    <row r="230" spans="25:37" ht="12.75" x14ac:dyDescent="0.35">
      <c r="Y230" s="39"/>
      <c r="Z230" s="39"/>
      <c r="AA230" s="39"/>
      <c r="AB230" s="39"/>
      <c r="AD230" s="40"/>
      <c r="AE230" s="41"/>
      <c r="AF230" s="42"/>
      <c r="AI230" s="49"/>
      <c r="AJ230" s="42"/>
      <c r="AK230" s="42"/>
    </row>
    <row r="231" spans="25:37" ht="12.75" x14ac:dyDescent="0.35">
      <c r="Y231" s="39"/>
      <c r="Z231" s="39"/>
      <c r="AA231" s="39"/>
      <c r="AB231" s="39"/>
      <c r="AD231" s="40"/>
      <c r="AE231" s="41"/>
      <c r="AF231" s="42"/>
      <c r="AI231" s="49"/>
      <c r="AJ231" s="42"/>
      <c r="AK231" s="42"/>
    </row>
    <row r="232" spans="25:37" ht="12.75" x14ac:dyDescent="0.35">
      <c r="Y232" s="39"/>
      <c r="Z232" s="39"/>
      <c r="AA232" s="39"/>
      <c r="AB232" s="39"/>
      <c r="AD232" s="40"/>
      <c r="AE232" s="41"/>
      <c r="AF232" s="42"/>
      <c r="AI232" s="49"/>
      <c r="AJ232" s="42"/>
      <c r="AK232" s="42"/>
    </row>
    <row r="233" spans="25:37" ht="12.75" x14ac:dyDescent="0.35">
      <c r="Y233" s="39"/>
      <c r="Z233" s="39"/>
      <c r="AA233" s="39"/>
      <c r="AB233" s="39"/>
      <c r="AD233" s="40"/>
      <c r="AE233" s="41"/>
      <c r="AF233" s="42"/>
      <c r="AI233" s="49"/>
      <c r="AJ233" s="42"/>
      <c r="AK233" s="42"/>
    </row>
    <row r="234" spans="25:37" ht="12.75" x14ac:dyDescent="0.35">
      <c r="Y234" s="39"/>
      <c r="Z234" s="39"/>
      <c r="AA234" s="39"/>
      <c r="AB234" s="39"/>
      <c r="AD234" s="40"/>
      <c r="AE234" s="41"/>
      <c r="AF234" s="42"/>
      <c r="AI234" s="49"/>
      <c r="AJ234" s="42"/>
      <c r="AK234" s="42"/>
    </row>
    <row r="235" spans="25:37" ht="12.75" x14ac:dyDescent="0.35">
      <c r="Y235" s="39"/>
      <c r="Z235" s="39"/>
      <c r="AA235" s="39"/>
      <c r="AB235" s="39"/>
      <c r="AD235" s="40"/>
      <c r="AE235" s="41"/>
      <c r="AF235" s="42"/>
      <c r="AI235" s="49"/>
      <c r="AJ235" s="42"/>
      <c r="AK235" s="42"/>
    </row>
    <row r="236" spans="25:37" ht="12.75" x14ac:dyDescent="0.35">
      <c r="Y236" s="39"/>
      <c r="Z236" s="39"/>
      <c r="AA236" s="39"/>
      <c r="AB236" s="39"/>
      <c r="AD236" s="40"/>
      <c r="AE236" s="41"/>
      <c r="AF236" s="42"/>
      <c r="AI236" s="49"/>
      <c r="AJ236" s="42"/>
      <c r="AK236" s="42"/>
    </row>
    <row r="237" spans="25:37" ht="12.75" x14ac:dyDescent="0.35">
      <c r="Y237" s="39"/>
      <c r="Z237" s="39"/>
      <c r="AA237" s="39"/>
      <c r="AB237" s="39"/>
      <c r="AD237" s="40"/>
      <c r="AE237" s="41"/>
      <c r="AF237" s="42"/>
      <c r="AI237" s="49"/>
      <c r="AJ237" s="42"/>
      <c r="AK237" s="42"/>
    </row>
    <row r="238" spans="25:37" ht="12.75" x14ac:dyDescent="0.35">
      <c r="Y238" s="39"/>
      <c r="Z238" s="39"/>
      <c r="AA238" s="39"/>
      <c r="AB238" s="39"/>
      <c r="AD238" s="40"/>
      <c r="AE238" s="41"/>
      <c r="AF238" s="42"/>
      <c r="AI238" s="49"/>
      <c r="AJ238" s="42"/>
      <c r="AK238" s="42"/>
    </row>
    <row r="239" spans="25:37" ht="12.75" x14ac:dyDescent="0.35">
      <c r="Y239" s="39"/>
      <c r="Z239" s="39"/>
      <c r="AA239" s="39"/>
      <c r="AB239" s="39"/>
      <c r="AD239" s="40"/>
      <c r="AE239" s="41"/>
      <c r="AF239" s="42"/>
      <c r="AI239" s="49"/>
      <c r="AJ239" s="42"/>
      <c r="AK239" s="42"/>
    </row>
    <row r="240" spans="25:37" ht="12.75" x14ac:dyDescent="0.35">
      <c r="Y240" s="39"/>
      <c r="Z240" s="39"/>
      <c r="AA240" s="39"/>
      <c r="AB240" s="39"/>
      <c r="AD240" s="40"/>
      <c r="AE240" s="41"/>
      <c r="AF240" s="42"/>
      <c r="AI240" s="49"/>
      <c r="AJ240" s="42"/>
      <c r="AK240" s="42"/>
    </row>
    <row r="241" spans="25:37" ht="12.75" x14ac:dyDescent="0.35">
      <c r="Y241" s="39"/>
      <c r="Z241" s="39"/>
      <c r="AA241" s="39"/>
      <c r="AB241" s="39"/>
      <c r="AD241" s="40"/>
      <c r="AE241" s="41"/>
      <c r="AF241" s="42"/>
      <c r="AI241" s="49"/>
      <c r="AJ241" s="42"/>
      <c r="AK241" s="42"/>
    </row>
    <row r="242" spans="25:37" ht="12.75" x14ac:dyDescent="0.35">
      <c r="Y242" s="39"/>
      <c r="Z242" s="39"/>
      <c r="AA242" s="39"/>
      <c r="AB242" s="39"/>
      <c r="AD242" s="40"/>
      <c r="AE242" s="41"/>
      <c r="AF242" s="42"/>
      <c r="AI242" s="49"/>
      <c r="AJ242" s="42"/>
      <c r="AK242" s="42"/>
    </row>
    <row r="243" spans="25:37" ht="12.75" x14ac:dyDescent="0.35">
      <c r="Y243" s="39"/>
      <c r="Z243" s="39"/>
      <c r="AA243" s="39"/>
      <c r="AB243" s="39"/>
      <c r="AD243" s="40"/>
      <c r="AE243" s="41"/>
      <c r="AF243" s="42"/>
      <c r="AI243" s="49"/>
      <c r="AJ243" s="42"/>
      <c r="AK243" s="42"/>
    </row>
    <row r="244" spans="25:37" ht="12.75" x14ac:dyDescent="0.35">
      <c r="Y244" s="39"/>
      <c r="Z244" s="39"/>
      <c r="AA244" s="39"/>
      <c r="AB244" s="39"/>
      <c r="AD244" s="40"/>
      <c r="AE244" s="41"/>
      <c r="AF244" s="42"/>
      <c r="AI244" s="49"/>
      <c r="AJ244" s="42"/>
      <c r="AK244" s="42"/>
    </row>
    <row r="245" spans="25:37" ht="12.75" x14ac:dyDescent="0.35">
      <c r="Y245" s="39"/>
      <c r="Z245" s="39"/>
      <c r="AA245" s="39"/>
      <c r="AB245" s="39"/>
      <c r="AD245" s="40"/>
      <c r="AE245" s="41"/>
      <c r="AF245" s="42"/>
      <c r="AI245" s="49"/>
      <c r="AJ245" s="42"/>
      <c r="AK245" s="42"/>
    </row>
    <row r="246" spans="25:37" ht="12.75" x14ac:dyDescent="0.35">
      <c r="Y246" s="39"/>
      <c r="Z246" s="39"/>
      <c r="AA246" s="39"/>
      <c r="AB246" s="39"/>
      <c r="AD246" s="40"/>
      <c r="AE246" s="41"/>
      <c r="AF246" s="42"/>
      <c r="AI246" s="49"/>
      <c r="AJ246" s="42"/>
      <c r="AK246" s="42"/>
    </row>
    <row r="247" spans="25:37" ht="12.75" x14ac:dyDescent="0.35">
      <c r="Y247" s="39"/>
      <c r="Z247" s="39"/>
      <c r="AA247" s="39"/>
      <c r="AB247" s="39"/>
      <c r="AD247" s="40"/>
      <c r="AE247" s="41"/>
      <c r="AF247" s="42"/>
      <c r="AI247" s="49"/>
      <c r="AJ247" s="42"/>
      <c r="AK247" s="42"/>
    </row>
    <row r="248" spans="25:37" ht="12.75" x14ac:dyDescent="0.35">
      <c r="Y248" s="39"/>
      <c r="Z248" s="39"/>
      <c r="AA248" s="39"/>
      <c r="AB248" s="39"/>
      <c r="AD248" s="40"/>
      <c r="AE248" s="41"/>
      <c r="AF248" s="42"/>
      <c r="AI248" s="49"/>
      <c r="AJ248" s="42"/>
      <c r="AK248" s="42"/>
    </row>
    <row r="249" spans="25:37" ht="12.75" x14ac:dyDescent="0.35">
      <c r="Y249" s="39"/>
      <c r="Z249" s="39"/>
      <c r="AA249" s="39"/>
      <c r="AB249" s="39"/>
      <c r="AD249" s="40"/>
      <c r="AE249" s="41"/>
      <c r="AF249" s="42"/>
      <c r="AI249" s="49"/>
      <c r="AJ249" s="42"/>
      <c r="AK249" s="42"/>
    </row>
    <row r="250" spans="25:37" ht="12.75" x14ac:dyDescent="0.35">
      <c r="Y250" s="39"/>
      <c r="Z250" s="39"/>
      <c r="AA250" s="39"/>
      <c r="AB250" s="39"/>
      <c r="AD250" s="40"/>
      <c r="AE250" s="41"/>
      <c r="AF250" s="42"/>
      <c r="AI250" s="49"/>
      <c r="AJ250" s="42"/>
      <c r="AK250" s="42"/>
    </row>
    <row r="251" spans="25:37" ht="12.75" x14ac:dyDescent="0.35">
      <c r="Y251" s="39"/>
      <c r="Z251" s="39"/>
      <c r="AA251" s="39"/>
      <c r="AB251" s="39"/>
      <c r="AD251" s="40"/>
      <c r="AE251" s="41"/>
      <c r="AF251" s="42"/>
      <c r="AI251" s="49"/>
      <c r="AJ251" s="42"/>
      <c r="AK251" s="42"/>
    </row>
    <row r="252" spans="25:37" ht="12.75" x14ac:dyDescent="0.35">
      <c r="Y252" s="39"/>
      <c r="Z252" s="39"/>
      <c r="AA252" s="39"/>
      <c r="AB252" s="39"/>
      <c r="AD252" s="40"/>
      <c r="AE252" s="41"/>
      <c r="AF252" s="42"/>
      <c r="AI252" s="49"/>
      <c r="AJ252" s="42"/>
      <c r="AK252" s="42"/>
    </row>
    <row r="253" spans="25:37" ht="12.75" x14ac:dyDescent="0.35">
      <c r="Y253" s="39"/>
      <c r="Z253" s="39"/>
      <c r="AA253" s="39"/>
      <c r="AB253" s="39"/>
      <c r="AD253" s="40"/>
      <c r="AE253" s="41"/>
      <c r="AF253" s="42"/>
      <c r="AI253" s="49"/>
      <c r="AJ253" s="42"/>
      <c r="AK253" s="42"/>
    </row>
    <row r="254" spans="25:37" ht="12.75" x14ac:dyDescent="0.35">
      <c r="Y254" s="39"/>
      <c r="Z254" s="39"/>
      <c r="AA254" s="39"/>
      <c r="AB254" s="39"/>
      <c r="AD254" s="40"/>
      <c r="AE254" s="41"/>
      <c r="AF254" s="42"/>
      <c r="AI254" s="49"/>
      <c r="AJ254" s="42"/>
      <c r="AK254" s="42"/>
    </row>
    <row r="255" spans="25:37" ht="12.75" x14ac:dyDescent="0.35">
      <c r="Y255" s="39"/>
      <c r="Z255" s="39"/>
      <c r="AA255" s="39"/>
      <c r="AB255" s="39"/>
      <c r="AD255" s="40"/>
      <c r="AE255" s="41"/>
      <c r="AF255" s="42"/>
      <c r="AI255" s="49"/>
      <c r="AJ255" s="42"/>
      <c r="AK255" s="42"/>
    </row>
    <row r="256" spans="25:37" ht="12.75" x14ac:dyDescent="0.35">
      <c r="Y256" s="39"/>
      <c r="Z256" s="39"/>
      <c r="AA256" s="39"/>
      <c r="AB256" s="39"/>
      <c r="AD256" s="40"/>
      <c r="AE256" s="41"/>
      <c r="AF256" s="42"/>
      <c r="AI256" s="49"/>
      <c r="AJ256" s="42"/>
      <c r="AK256" s="42"/>
    </row>
    <row r="257" spans="25:37" ht="12.75" x14ac:dyDescent="0.35">
      <c r="Y257" s="39"/>
      <c r="Z257" s="39"/>
      <c r="AA257" s="39"/>
      <c r="AB257" s="39"/>
      <c r="AD257" s="40"/>
      <c r="AE257" s="41"/>
      <c r="AF257" s="42"/>
      <c r="AI257" s="49"/>
      <c r="AJ257" s="42"/>
      <c r="AK257" s="42"/>
    </row>
    <row r="258" spans="25:37" ht="12.75" x14ac:dyDescent="0.35">
      <c r="Y258" s="39"/>
      <c r="Z258" s="39"/>
      <c r="AA258" s="39"/>
      <c r="AB258" s="39"/>
      <c r="AD258" s="40"/>
      <c r="AE258" s="41"/>
      <c r="AF258" s="42"/>
      <c r="AI258" s="49"/>
      <c r="AJ258" s="42"/>
      <c r="AK258" s="42"/>
    </row>
    <row r="259" spans="25:37" ht="12.75" x14ac:dyDescent="0.35">
      <c r="Y259" s="39"/>
      <c r="Z259" s="39"/>
      <c r="AA259" s="39"/>
      <c r="AB259" s="39"/>
      <c r="AD259" s="40"/>
      <c r="AE259" s="41"/>
      <c r="AF259" s="42"/>
      <c r="AI259" s="49"/>
      <c r="AJ259" s="42"/>
      <c r="AK259" s="42"/>
    </row>
    <row r="260" spans="25:37" ht="12.75" x14ac:dyDescent="0.35">
      <c r="Y260" s="39"/>
      <c r="Z260" s="39"/>
      <c r="AA260" s="39"/>
      <c r="AB260" s="39"/>
      <c r="AD260" s="40"/>
      <c r="AE260" s="41"/>
      <c r="AF260" s="42"/>
      <c r="AI260" s="49"/>
      <c r="AJ260" s="42"/>
      <c r="AK260" s="42"/>
    </row>
    <row r="261" spans="25:37" ht="12.75" x14ac:dyDescent="0.35">
      <c r="Y261" s="39"/>
      <c r="Z261" s="39"/>
      <c r="AA261" s="39"/>
      <c r="AB261" s="39"/>
      <c r="AD261" s="40"/>
      <c r="AE261" s="41"/>
      <c r="AF261" s="42"/>
      <c r="AI261" s="49"/>
      <c r="AJ261" s="42"/>
      <c r="AK261" s="42"/>
    </row>
    <row r="262" spans="25:37" ht="12.75" x14ac:dyDescent="0.35">
      <c r="Y262" s="39"/>
      <c r="Z262" s="39"/>
      <c r="AA262" s="39"/>
      <c r="AB262" s="39"/>
      <c r="AD262" s="40"/>
      <c r="AE262" s="41"/>
      <c r="AF262" s="42"/>
      <c r="AI262" s="49"/>
      <c r="AJ262" s="42"/>
      <c r="AK262" s="42"/>
    </row>
    <row r="263" spans="25:37" ht="12.75" x14ac:dyDescent="0.35">
      <c r="Y263" s="39"/>
      <c r="Z263" s="39"/>
      <c r="AA263" s="39"/>
      <c r="AB263" s="39"/>
      <c r="AD263" s="40"/>
      <c r="AE263" s="41"/>
      <c r="AF263" s="42"/>
      <c r="AI263" s="49"/>
      <c r="AJ263" s="42"/>
      <c r="AK263" s="42"/>
    </row>
    <row r="264" spans="25:37" ht="12.75" x14ac:dyDescent="0.35">
      <c r="Y264" s="39"/>
      <c r="Z264" s="39"/>
      <c r="AA264" s="39"/>
      <c r="AB264" s="39"/>
      <c r="AD264" s="40"/>
      <c r="AE264" s="41"/>
      <c r="AF264" s="42"/>
      <c r="AI264" s="49"/>
      <c r="AJ264" s="42"/>
      <c r="AK264" s="42"/>
    </row>
    <row r="265" spans="25:37" ht="12.75" x14ac:dyDescent="0.35">
      <c r="Y265" s="39"/>
      <c r="Z265" s="39"/>
      <c r="AA265" s="39"/>
      <c r="AB265" s="39"/>
      <c r="AD265" s="40"/>
      <c r="AE265" s="41"/>
      <c r="AF265" s="42"/>
      <c r="AI265" s="49"/>
      <c r="AJ265" s="42"/>
      <c r="AK265" s="42"/>
    </row>
    <row r="266" spans="25:37" ht="12.75" x14ac:dyDescent="0.35">
      <c r="Y266" s="39"/>
      <c r="Z266" s="39"/>
      <c r="AA266" s="39"/>
      <c r="AB266" s="39"/>
      <c r="AD266" s="40"/>
      <c r="AE266" s="41"/>
      <c r="AF266" s="42"/>
      <c r="AI266" s="49"/>
      <c r="AJ266" s="42"/>
      <c r="AK266" s="42"/>
    </row>
    <row r="267" spans="25:37" ht="12.75" x14ac:dyDescent="0.35">
      <c r="Y267" s="39"/>
      <c r="Z267" s="39"/>
      <c r="AA267" s="39"/>
      <c r="AB267" s="39"/>
      <c r="AD267" s="40"/>
      <c r="AE267" s="41"/>
      <c r="AF267" s="42"/>
      <c r="AI267" s="49"/>
      <c r="AJ267" s="42"/>
      <c r="AK267" s="42"/>
    </row>
    <row r="268" spans="25:37" ht="12.75" x14ac:dyDescent="0.35">
      <c r="Y268" s="39"/>
      <c r="Z268" s="39"/>
      <c r="AA268" s="39"/>
      <c r="AB268" s="39"/>
      <c r="AD268" s="40"/>
      <c r="AE268" s="41"/>
      <c r="AF268" s="42"/>
      <c r="AI268" s="49"/>
      <c r="AJ268" s="42"/>
      <c r="AK268" s="42"/>
    </row>
    <row r="269" spans="25:37" ht="12.75" x14ac:dyDescent="0.35">
      <c r="Y269" s="39"/>
      <c r="Z269" s="39"/>
      <c r="AA269" s="39"/>
      <c r="AB269" s="39"/>
      <c r="AD269" s="40"/>
      <c r="AE269" s="41"/>
      <c r="AF269" s="42"/>
      <c r="AI269" s="49"/>
      <c r="AJ269" s="42"/>
      <c r="AK269" s="42"/>
    </row>
    <row r="270" spans="25:37" ht="12.75" x14ac:dyDescent="0.35">
      <c r="Y270" s="39"/>
      <c r="Z270" s="39"/>
      <c r="AA270" s="39"/>
      <c r="AB270" s="39"/>
      <c r="AD270" s="40"/>
      <c r="AE270" s="41"/>
      <c r="AF270" s="42"/>
      <c r="AI270" s="49"/>
      <c r="AJ270" s="42"/>
      <c r="AK270" s="42"/>
    </row>
    <row r="271" spans="25:37" ht="12.75" x14ac:dyDescent="0.35">
      <c r="Y271" s="39"/>
      <c r="Z271" s="39"/>
      <c r="AA271" s="39"/>
      <c r="AB271" s="39"/>
      <c r="AD271" s="40"/>
      <c r="AE271" s="41"/>
      <c r="AF271" s="42"/>
      <c r="AI271" s="49"/>
      <c r="AJ271" s="42"/>
      <c r="AK271" s="42"/>
    </row>
    <row r="272" spans="25:37" ht="12.75" x14ac:dyDescent="0.35">
      <c r="Y272" s="39"/>
      <c r="Z272" s="39"/>
      <c r="AA272" s="39"/>
      <c r="AB272" s="39"/>
      <c r="AD272" s="40"/>
      <c r="AE272" s="41"/>
      <c r="AF272" s="42"/>
      <c r="AI272" s="49"/>
      <c r="AJ272" s="42"/>
      <c r="AK272" s="42"/>
    </row>
    <row r="273" spans="25:37" ht="12.75" x14ac:dyDescent="0.35">
      <c r="Y273" s="39"/>
      <c r="Z273" s="39"/>
      <c r="AA273" s="39"/>
      <c r="AB273" s="39"/>
      <c r="AD273" s="40"/>
      <c r="AE273" s="41"/>
      <c r="AF273" s="42"/>
      <c r="AI273" s="49"/>
      <c r="AJ273" s="42"/>
      <c r="AK273" s="42"/>
    </row>
    <row r="274" spans="25:37" ht="12.75" x14ac:dyDescent="0.35">
      <c r="Y274" s="39"/>
      <c r="Z274" s="39"/>
      <c r="AA274" s="39"/>
      <c r="AB274" s="39"/>
      <c r="AD274" s="40"/>
      <c r="AE274" s="41"/>
      <c r="AF274" s="42"/>
      <c r="AI274" s="49"/>
      <c r="AJ274" s="42"/>
      <c r="AK274" s="42"/>
    </row>
    <row r="275" spans="25:37" ht="12.75" x14ac:dyDescent="0.35">
      <c r="Y275" s="39"/>
      <c r="Z275" s="39"/>
      <c r="AA275" s="39"/>
      <c r="AB275" s="39"/>
      <c r="AD275" s="40"/>
      <c r="AE275" s="41"/>
      <c r="AF275" s="42"/>
      <c r="AI275" s="49"/>
      <c r="AJ275" s="42"/>
      <c r="AK275" s="42"/>
    </row>
    <row r="276" spans="25:37" ht="12.75" x14ac:dyDescent="0.35">
      <c r="Y276" s="39"/>
      <c r="Z276" s="39"/>
      <c r="AA276" s="39"/>
      <c r="AB276" s="39"/>
      <c r="AD276" s="40"/>
      <c r="AE276" s="41"/>
      <c r="AF276" s="42"/>
      <c r="AI276" s="49"/>
      <c r="AJ276" s="42"/>
      <c r="AK276" s="42"/>
    </row>
    <row r="277" spans="25:37" ht="12.75" x14ac:dyDescent="0.35">
      <c r="Y277" s="39"/>
      <c r="Z277" s="39"/>
      <c r="AA277" s="39"/>
      <c r="AB277" s="39"/>
      <c r="AD277" s="40"/>
      <c r="AE277" s="41"/>
      <c r="AF277" s="42"/>
      <c r="AI277" s="49"/>
      <c r="AJ277" s="42"/>
      <c r="AK277" s="42"/>
    </row>
    <row r="278" spans="25:37" ht="12.75" x14ac:dyDescent="0.35">
      <c r="Y278" s="39"/>
      <c r="Z278" s="39"/>
      <c r="AA278" s="39"/>
      <c r="AB278" s="39"/>
      <c r="AD278" s="40"/>
      <c r="AE278" s="41"/>
      <c r="AF278" s="42"/>
      <c r="AI278" s="49"/>
      <c r="AJ278" s="42"/>
      <c r="AK278" s="42"/>
    </row>
    <row r="279" spans="25:37" ht="12.75" x14ac:dyDescent="0.35">
      <c r="Y279" s="39"/>
      <c r="Z279" s="39"/>
      <c r="AA279" s="39"/>
      <c r="AB279" s="39"/>
      <c r="AD279" s="40"/>
      <c r="AE279" s="41"/>
      <c r="AF279" s="42"/>
      <c r="AI279" s="49"/>
      <c r="AJ279" s="42"/>
      <c r="AK279" s="42"/>
    </row>
    <row r="280" spans="25:37" ht="12.75" x14ac:dyDescent="0.35">
      <c r="Y280" s="39"/>
      <c r="Z280" s="39"/>
      <c r="AA280" s="39"/>
      <c r="AB280" s="39"/>
      <c r="AD280" s="40"/>
      <c r="AE280" s="41"/>
      <c r="AF280" s="42"/>
      <c r="AI280" s="49"/>
      <c r="AJ280" s="42"/>
      <c r="AK280" s="42"/>
    </row>
    <row r="281" spans="25:37" ht="12.75" x14ac:dyDescent="0.35">
      <c r="Y281" s="39"/>
      <c r="Z281" s="39"/>
      <c r="AA281" s="39"/>
      <c r="AB281" s="39"/>
      <c r="AD281" s="40"/>
      <c r="AE281" s="41"/>
      <c r="AF281" s="42"/>
      <c r="AI281" s="49"/>
      <c r="AJ281" s="42"/>
      <c r="AK281" s="42"/>
    </row>
    <row r="282" spans="25:37" ht="12.75" x14ac:dyDescent="0.35">
      <c r="Y282" s="39"/>
      <c r="Z282" s="39"/>
      <c r="AA282" s="39"/>
      <c r="AB282" s="39"/>
      <c r="AD282" s="40"/>
      <c r="AE282" s="41"/>
      <c r="AF282" s="42"/>
      <c r="AI282" s="49"/>
      <c r="AJ282" s="42"/>
      <c r="AK282" s="42"/>
    </row>
    <row r="283" spans="25:37" ht="12.75" x14ac:dyDescent="0.35">
      <c r="Y283" s="39"/>
      <c r="Z283" s="39"/>
      <c r="AA283" s="39"/>
      <c r="AB283" s="39"/>
      <c r="AD283" s="40"/>
      <c r="AE283" s="41"/>
      <c r="AF283" s="42"/>
      <c r="AI283" s="49"/>
      <c r="AJ283" s="42"/>
      <c r="AK283" s="42"/>
    </row>
    <row r="284" spans="25:37" ht="12.75" x14ac:dyDescent="0.35">
      <c r="Y284" s="39"/>
      <c r="Z284" s="39"/>
      <c r="AA284" s="39"/>
      <c r="AB284" s="39"/>
      <c r="AD284" s="40"/>
      <c r="AE284" s="41"/>
      <c r="AF284" s="42"/>
      <c r="AI284" s="49"/>
      <c r="AJ284" s="42"/>
      <c r="AK284" s="42"/>
    </row>
    <row r="285" spans="25:37" ht="12.75" x14ac:dyDescent="0.35">
      <c r="Y285" s="39"/>
      <c r="Z285" s="39"/>
      <c r="AA285" s="39"/>
      <c r="AB285" s="39"/>
      <c r="AD285" s="40"/>
      <c r="AE285" s="41"/>
      <c r="AF285" s="42"/>
      <c r="AI285" s="49"/>
      <c r="AJ285" s="42"/>
      <c r="AK285" s="42"/>
    </row>
    <row r="286" spans="25:37" ht="12.75" x14ac:dyDescent="0.35">
      <c r="Y286" s="39"/>
      <c r="Z286" s="39"/>
      <c r="AA286" s="39"/>
      <c r="AB286" s="39"/>
      <c r="AD286" s="40"/>
      <c r="AE286" s="41"/>
      <c r="AF286" s="42"/>
      <c r="AI286" s="49"/>
      <c r="AJ286" s="42"/>
      <c r="AK286" s="42"/>
    </row>
    <row r="287" spans="25:37" ht="12.75" x14ac:dyDescent="0.35">
      <c r="Y287" s="39"/>
      <c r="Z287" s="39"/>
      <c r="AA287" s="39"/>
      <c r="AB287" s="39"/>
      <c r="AD287" s="40"/>
      <c r="AE287" s="41"/>
      <c r="AF287" s="42"/>
      <c r="AI287" s="49"/>
      <c r="AJ287" s="42"/>
      <c r="AK287" s="42"/>
    </row>
    <row r="288" spans="25:37" ht="12.75" x14ac:dyDescent="0.35">
      <c r="Y288" s="39"/>
      <c r="Z288" s="39"/>
      <c r="AA288" s="39"/>
      <c r="AB288" s="39"/>
      <c r="AD288" s="40"/>
      <c r="AE288" s="41"/>
      <c r="AF288" s="42"/>
      <c r="AI288" s="49"/>
      <c r="AJ288" s="42"/>
      <c r="AK288" s="42"/>
    </row>
    <row r="289" spans="25:37" ht="12.75" x14ac:dyDescent="0.35">
      <c r="Y289" s="39"/>
      <c r="Z289" s="39"/>
      <c r="AA289" s="39"/>
      <c r="AB289" s="39"/>
      <c r="AD289" s="40"/>
      <c r="AE289" s="41"/>
      <c r="AF289" s="42"/>
      <c r="AI289" s="49"/>
      <c r="AJ289" s="42"/>
      <c r="AK289" s="42"/>
    </row>
    <row r="290" spans="25:37" ht="12.75" x14ac:dyDescent="0.35">
      <c r="Y290" s="39"/>
      <c r="Z290" s="39"/>
      <c r="AA290" s="39"/>
      <c r="AB290" s="39"/>
      <c r="AD290" s="40"/>
      <c r="AE290" s="41"/>
      <c r="AF290" s="42"/>
      <c r="AI290" s="49"/>
      <c r="AJ290" s="42"/>
      <c r="AK290" s="42"/>
    </row>
    <row r="291" spans="25:37" ht="12.75" x14ac:dyDescent="0.35">
      <c r="Y291" s="39"/>
      <c r="Z291" s="39"/>
      <c r="AA291" s="39"/>
      <c r="AB291" s="39"/>
      <c r="AD291" s="40"/>
      <c r="AE291" s="41"/>
      <c r="AF291" s="42"/>
      <c r="AI291" s="49"/>
      <c r="AJ291" s="42"/>
      <c r="AK291" s="42"/>
    </row>
    <row r="292" spans="25:37" ht="12.75" x14ac:dyDescent="0.35">
      <c r="Y292" s="39"/>
      <c r="Z292" s="39"/>
      <c r="AA292" s="39"/>
      <c r="AB292" s="39"/>
      <c r="AD292" s="40"/>
      <c r="AE292" s="41"/>
      <c r="AF292" s="42"/>
      <c r="AI292" s="49"/>
      <c r="AJ292" s="42"/>
      <c r="AK292" s="42"/>
    </row>
    <row r="293" spans="25:37" ht="12.75" x14ac:dyDescent="0.35">
      <c r="Y293" s="39"/>
      <c r="Z293" s="39"/>
      <c r="AA293" s="39"/>
      <c r="AB293" s="39"/>
      <c r="AD293" s="40"/>
      <c r="AE293" s="41"/>
      <c r="AF293" s="42"/>
      <c r="AI293" s="49"/>
      <c r="AJ293" s="42"/>
      <c r="AK293" s="42"/>
    </row>
    <row r="294" spans="25:37" ht="12.75" x14ac:dyDescent="0.35">
      <c r="Y294" s="39"/>
      <c r="Z294" s="39"/>
      <c r="AA294" s="39"/>
      <c r="AB294" s="39"/>
      <c r="AD294" s="40"/>
      <c r="AE294" s="41"/>
      <c r="AF294" s="42"/>
      <c r="AI294" s="49"/>
      <c r="AJ294" s="42"/>
      <c r="AK294" s="42"/>
    </row>
    <row r="295" spans="25:37" ht="12.75" x14ac:dyDescent="0.35">
      <c r="Y295" s="39"/>
      <c r="Z295" s="39"/>
      <c r="AA295" s="39"/>
      <c r="AB295" s="39"/>
      <c r="AD295" s="40"/>
      <c r="AE295" s="41"/>
      <c r="AF295" s="42"/>
      <c r="AI295" s="49"/>
      <c r="AJ295" s="42"/>
      <c r="AK295" s="42"/>
    </row>
    <row r="296" spans="25:37" ht="12.75" x14ac:dyDescent="0.35">
      <c r="Y296" s="39"/>
      <c r="Z296" s="39"/>
      <c r="AA296" s="39"/>
      <c r="AB296" s="39"/>
      <c r="AD296" s="40"/>
      <c r="AE296" s="41"/>
      <c r="AF296" s="42"/>
      <c r="AI296" s="49"/>
      <c r="AJ296" s="42"/>
      <c r="AK296" s="42"/>
    </row>
    <row r="297" spans="25:37" ht="12.75" x14ac:dyDescent="0.35">
      <c r="Y297" s="39"/>
      <c r="Z297" s="39"/>
      <c r="AA297" s="39"/>
      <c r="AB297" s="39"/>
      <c r="AD297" s="40"/>
      <c r="AE297" s="41"/>
      <c r="AF297" s="42"/>
      <c r="AI297" s="49"/>
      <c r="AJ297" s="42"/>
      <c r="AK297" s="42"/>
    </row>
    <row r="298" spans="25:37" ht="12.75" x14ac:dyDescent="0.35">
      <c r="Y298" s="39"/>
      <c r="Z298" s="39"/>
      <c r="AA298" s="39"/>
      <c r="AB298" s="39"/>
      <c r="AD298" s="40"/>
      <c r="AE298" s="41"/>
      <c r="AF298" s="42"/>
      <c r="AI298" s="49"/>
      <c r="AJ298" s="42"/>
      <c r="AK298" s="42"/>
    </row>
    <row r="299" spans="25:37" ht="12.75" x14ac:dyDescent="0.35">
      <c r="Y299" s="39"/>
      <c r="Z299" s="39"/>
      <c r="AA299" s="39"/>
      <c r="AB299" s="39"/>
      <c r="AD299" s="40"/>
      <c r="AE299" s="41"/>
      <c r="AF299" s="42"/>
      <c r="AI299" s="49"/>
      <c r="AJ299" s="42"/>
      <c r="AK299" s="42"/>
    </row>
    <row r="300" spans="25:37" ht="12.75" x14ac:dyDescent="0.35">
      <c r="Y300" s="39"/>
      <c r="Z300" s="39"/>
      <c r="AA300" s="39"/>
      <c r="AB300" s="39"/>
      <c r="AD300" s="40"/>
      <c r="AE300" s="41"/>
      <c r="AF300" s="42"/>
      <c r="AI300" s="49"/>
      <c r="AJ300" s="42"/>
      <c r="AK300" s="42"/>
    </row>
    <row r="301" spans="25:37" ht="12.75" x14ac:dyDescent="0.35">
      <c r="Y301" s="39"/>
      <c r="Z301" s="39"/>
      <c r="AA301" s="39"/>
      <c r="AB301" s="39"/>
      <c r="AD301" s="40"/>
      <c r="AE301" s="41"/>
      <c r="AF301" s="42"/>
      <c r="AI301" s="49"/>
      <c r="AJ301" s="42"/>
      <c r="AK301" s="42"/>
    </row>
    <row r="302" spans="25:37" ht="12.75" x14ac:dyDescent="0.35">
      <c r="Y302" s="39"/>
      <c r="Z302" s="39"/>
      <c r="AA302" s="39"/>
      <c r="AB302" s="39"/>
      <c r="AD302" s="40"/>
      <c r="AE302" s="41"/>
      <c r="AF302" s="42"/>
      <c r="AI302" s="49"/>
      <c r="AJ302" s="42"/>
      <c r="AK302" s="42"/>
    </row>
    <row r="303" spans="25:37" ht="12.75" x14ac:dyDescent="0.35">
      <c r="Y303" s="39"/>
      <c r="Z303" s="39"/>
      <c r="AA303" s="39"/>
      <c r="AB303" s="39"/>
      <c r="AD303" s="40"/>
      <c r="AE303" s="41"/>
      <c r="AF303" s="42"/>
      <c r="AI303" s="49"/>
      <c r="AJ303" s="42"/>
      <c r="AK303" s="42"/>
    </row>
    <row r="304" spans="25:37" ht="12.75" x14ac:dyDescent="0.35">
      <c r="Y304" s="39"/>
      <c r="Z304" s="39"/>
      <c r="AA304" s="39"/>
      <c r="AB304" s="39"/>
      <c r="AD304" s="40"/>
      <c r="AE304" s="41"/>
      <c r="AF304" s="42"/>
      <c r="AI304" s="49"/>
      <c r="AJ304" s="42"/>
      <c r="AK304" s="42"/>
    </row>
    <row r="305" spans="25:37" ht="12.75" x14ac:dyDescent="0.35">
      <c r="Y305" s="39"/>
      <c r="Z305" s="39"/>
      <c r="AA305" s="39"/>
      <c r="AB305" s="39"/>
      <c r="AD305" s="40"/>
      <c r="AE305" s="41"/>
      <c r="AF305" s="42"/>
      <c r="AI305" s="49"/>
      <c r="AJ305" s="42"/>
      <c r="AK305" s="42"/>
    </row>
    <row r="306" spans="25:37" ht="12.75" x14ac:dyDescent="0.35">
      <c r="Y306" s="39"/>
      <c r="Z306" s="39"/>
      <c r="AA306" s="39"/>
      <c r="AB306" s="39"/>
      <c r="AD306" s="40"/>
      <c r="AE306" s="41"/>
      <c r="AF306" s="42"/>
      <c r="AI306" s="49"/>
      <c r="AJ306" s="42"/>
      <c r="AK306" s="42"/>
    </row>
    <row r="307" spans="25:37" ht="12.75" x14ac:dyDescent="0.35">
      <c r="Y307" s="39"/>
      <c r="Z307" s="39"/>
      <c r="AA307" s="39"/>
      <c r="AB307" s="39"/>
      <c r="AD307" s="40"/>
      <c r="AE307" s="41"/>
      <c r="AF307" s="42"/>
      <c r="AI307" s="49"/>
      <c r="AJ307" s="42"/>
      <c r="AK307" s="42"/>
    </row>
    <row r="308" spans="25:37" ht="12.75" x14ac:dyDescent="0.35">
      <c r="Y308" s="39"/>
      <c r="Z308" s="39"/>
      <c r="AA308" s="39"/>
      <c r="AB308" s="39"/>
      <c r="AD308" s="40"/>
      <c r="AE308" s="41"/>
      <c r="AF308" s="42"/>
      <c r="AI308" s="49"/>
      <c r="AJ308" s="42"/>
      <c r="AK308" s="42"/>
    </row>
    <row r="309" spans="25:37" ht="12.75" x14ac:dyDescent="0.35">
      <c r="Y309" s="39"/>
      <c r="Z309" s="39"/>
      <c r="AA309" s="39"/>
      <c r="AB309" s="39"/>
      <c r="AD309" s="40"/>
      <c r="AE309" s="41"/>
      <c r="AF309" s="42"/>
      <c r="AI309" s="49"/>
      <c r="AJ309" s="42"/>
      <c r="AK309" s="42"/>
    </row>
    <row r="310" spans="25:37" ht="12.75" x14ac:dyDescent="0.35">
      <c r="Y310" s="39"/>
      <c r="Z310" s="39"/>
      <c r="AA310" s="39"/>
      <c r="AB310" s="39"/>
      <c r="AD310" s="40"/>
      <c r="AE310" s="41"/>
      <c r="AF310" s="42"/>
      <c r="AI310" s="49"/>
      <c r="AJ310" s="42"/>
      <c r="AK310" s="42"/>
    </row>
    <row r="311" spans="25:37" ht="12.75" x14ac:dyDescent="0.35">
      <c r="Y311" s="39"/>
      <c r="Z311" s="39"/>
      <c r="AA311" s="39"/>
      <c r="AB311" s="39"/>
      <c r="AD311" s="40"/>
      <c r="AE311" s="41"/>
      <c r="AF311" s="42"/>
      <c r="AI311" s="49"/>
      <c r="AJ311" s="42"/>
      <c r="AK311" s="42"/>
    </row>
    <row r="312" spans="25:37" ht="12.75" x14ac:dyDescent="0.35">
      <c r="Y312" s="39"/>
      <c r="Z312" s="39"/>
      <c r="AA312" s="39"/>
      <c r="AB312" s="39"/>
      <c r="AD312" s="40"/>
      <c r="AE312" s="41"/>
      <c r="AF312" s="42"/>
      <c r="AI312" s="49"/>
      <c r="AJ312" s="42"/>
      <c r="AK312" s="42"/>
    </row>
    <row r="313" spans="25:37" ht="12.75" x14ac:dyDescent="0.35">
      <c r="Y313" s="39"/>
      <c r="Z313" s="39"/>
      <c r="AA313" s="39"/>
      <c r="AB313" s="39"/>
      <c r="AD313" s="40"/>
      <c r="AE313" s="41"/>
      <c r="AF313" s="42"/>
      <c r="AI313" s="49"/>
      <c r="AJ313" s="42"/>
      <c r="AK313" s="42"/>
    </row>
    <row r="314" spans="25:37" ht="12.75" x14ac:dyDescent="0.35">
      <c r="Y314" s="39"/>
      <c r="Z314" s="39"/>
      <c r="AA314" s="39"/>
      <c r="AB314" s="39"/>
      <c r="AD314" s="40"/>
      <c r="AE314" s="41"/>
      <c r="AF314" s="42"/>
      <c r="AI314" s="49"/>
      <c r="AJ314" s="42"/>
      <c r="AK314" s="42"/>
    </row>
    <row r="315" spans="25:37" ht="12.75" x14ac:dyDescent="0.35">
      <c r="Y315" s="39"/>
      <c r="Z315" s="39"/>
      <c r="AA315" s="39"/>
      <c r="AB315" s="39"/>
      <c r="AD315" s="40"/>
      <c r="AE315" s="41"/>
      <c r="AF315" s="42"/>
      <c r="AI315" s="49"/>
      <c r="AJ315" s="42"/>
      <c r="AK315" s="42"/>
    </row>
    <row r="316" spans="25:37" ht="12.75" x14ac:dyDescent="0.35">
      <c r="Y316" s="39"/>
      <c r="Z316" s="39"/>
      <c r="AA316" s="39"/>
      <c r="AB316" s="39"/>
      <c r="AD316" s="40"/>
      <c r="AE316" s="41"/>
      <c r="AF316" s="42"/>
      <c r="AI316" s="49"/>
      <c r="AJ316" s="42"/>
      <c r="AK316" s="42"/>
    </row>
    <row r="317" spans="25:37" ht="12.75" x14ac:dyDescent="0.35">
      <c r="Y317" s="39"/>
      <c r="Z317" s="39"/>
      <c r="AA317" s="39"/>
      <c r="AB317" s="39"/>
      <c r="AD317" s="40"/>
      <c r="AE317" s="41"/>
      <c r="AF317" s="42"/>
      <c r="AI317" s="49"/>
      <c r="AJ317" s="42"/>
      <c r="AK317" s="42"/>
    </row>
    <row r="318" spans="25:37" ht="12.75" x14ac:dyDescent="0.35">
      <c r="Y318" s="39"/>
      <c r="Z318" s="39"/>
      <c r="AA318" s="39"/>
      <c r="AB318" s="39"/>
      <c r="AD318" s="40"/>
      <c r="AE318" s="41"/>
      <c r="AF318" s="42"/>
      <c r="AI318" s="49"/>
      <c r="AJ318" s="42"/>
      <c r="AK318" s="42"/>
    </row>
    <row r="319" spans="25:37" ht="12.75" x14ac:dyDescent="0.35">
      <c r="Y319" s="39"/>
      <c r="Z319" s="39"/>
      <c r="AA319" s="39"/>
      <c r="AB319" s="39"/>
      <c r="AD319" s="40"/>
      <c r="AE319" s="41"/>
      <c r="AF319" s="42"/>
      <c r="AI319" s="49"/>
      <c r="AJ319" s="42"/>
      <c r="AK319" s="42"/>
    </row>
    <row r="320" spans="25:37" ht="12.75" x14ac:dyDescent="0.35">
      <c r="Y320" s="39"/>
      <c r="Z320" s="39"/>
      <c r="AA320" s="39"/>
      <c r="AB320" s="39"/>
      <c r="AD320" s="40"/>
      <c r="AE320" s="41"/>
      <c r="AF320" s="42"/>
      <c r="AI320" s="49"/>
      <c r="AJ320" s="42"/>
      <c r="AK320" s="42"/>
    </row>
    <row r="321" spans="25:37" ht="12.75" x14ac:dyDescent="0.35">
      <c r="Y321" s="39"/>
      <c r="Z321" s="39"/>
      <c r="AA321" s="39"/>
      <c r="AB321" s="39"/>
      <c r="AD321" s="40"/>
      <c r="AE321" s="41"/>
      <c r="AF321" s="42"/>
      <c r="AI321" s="49"/>
      <c r="AJ321" s="42"/>
      <c r="AK321" s="42"/>
    </row>
    <row r="322" spans="25:37" ht="12.75" x14ac:dyDescent="0.35">
      <c r="Y322" s="39"/>
      <c r="Z322" s="39"/>
      <c r="AA322" s="39"/>
      <c r="AB322" s="39"/>
      <c r="AD322" s="40"/>
      <c r="AE322" s="41"/>
      <c r="AF322" s="42"/>
      <c r="AI322" s="49"/>
      <c r="AJ322" s="42"/>
      <c r="AK322" s="42"/>
    </row>
    <row r="323" spans="25:37" ht="12.75" x14ac:dyDescent="0.35">
      <c r="Y323" s="39"/>
      <c r="Z323" s="39"/>
      <c r="AA323" s="39"/>
      <c r="AB323" s="39"/>
      <c r="AD323" s="40"/>
      <c r="AE323" s="41"/>
      <c r="AF323" s="42"/>
      <c r="AI323" s="49"/>
      <c r="AJ323" s="42"/>
      <c r="AK323" s="42"/>
    </row>
    <row r="324" spans="25:37" ht="12.75" x14ac:dyDescent="0.35">
      <c r="Y324" s="39"/>
      <c r="Z324" s="39"/>
      <c r="AA324" s="39"/>
      <c r="AB324" s="39"/>
      <c r="AD324" s="40"/>
      <c r="AE324" s="41"/>
      <c r="AF324" s="42"/>
      <c r="AI324" s="49"/>
      <c r="AJ324" s="42"/>
      <c r="AK324" s="42"/>
    </row>
    <row r="325" spans="25:37" ht="12.75" x14ac:dyDescent="0.35">
      <c r="Y325" s="39"/>
      <c r="Z325" s="39"/>
      <c r="AA325" s="39"/>
      <c r="AB325" s="39"/>
      <c r="AD325" s="40"/>
      <c r="AE325" s="41"/>
      <c r="AF325" s="42"/>
      <c r="AI325" s="49"/>
      <c r="AJ325" s="42"/>
      <c r="AK325" s="42"/>
    </row>
    <row r="326" spans="25:37" ht="12.75" x14ac:dyDescent="0.35">
      <c r="Y326" s="39"/>
      <c r="Z326" s="39"/>
      <c r="AA326" s="39"/>
      <c r="AB326" s="39"/>
      <c r="AD326" s="40"/>
      <c r="AE326" s="41"/>
      <c r="AF326" s="42"/>
      <c r="AI326" s="49"/>
      <c r="AJ326" s="42"/>
      <c r="AK326" s="42"/>
    </row>
    <row r="327" spans="25:37" ht="12.75" x14ac:dyDescent="0.35">
      <c r="Y327" s="39"/>
      <c r="Z327" s="39"/>
      <c r="AA327" s="39"/>
      <c r="AB327" s="39"/>
      <c r="AD327" s="40"/>
      <c r="AE327" s="41"/>
      <c r="AF327" s="42"/>
      <c r="AI327" s="49"/>
      <c r="AJ327" s="42"/>
      <c r="AK327" s="42"/>
    </row>
    <row r="328" spans="25:37" ht="12.75" x14ac:dyDescent="0.35">
      <c r="Y328" s="39"/>
      <c r="Z328" s="39"/>
      <c r="AA328" s="39"/>
      <c r="AB328" s="39"/>
      <c r="AD328" s="40"/>
      <c r="AE328" s="41"/>
      <c r="AF328" s="42"/>
      <c r="AI328" s="49"/>
      <c r="AJ328" s="42"/>
      <c r="AK328" s="42"/>
    </row>
    <row r="329" spans="25:37" ht="12.75" x14ac:dyDescent="0.35">
      <c r="Y329" s="39"/>
      <c r="Z329" s="39"/>
      <c r="AA329" s="39"/>
      <c r="AB329" s="39"/>
      <c r="AD329" s="40"/>
      <c r="AE329" s="41"/>
      <c r="AF329" s="42"/>
      <c r="AI329" s="49"/>
      <c r="AJ329" s="42"/>
      <c r="AK329" s="42"/>
    </row>
    <row r="330" spans="25:37" ht="12.75" x14ac:dyDescent="0.35">
      <c r="Y330" s="39"/>
      <c r="Z330" s="39"/>
      <c r="AA330" s="39"/>
      <c r="AB330" s="39"/>
      <c r="AD330" s="40"/>
      <c r="AE330" s="41"/>
      <c r="AF330" s="42"/>
      <c r="AI330" s="49"/>
      <c r="AJ330" s="42"/>
      <c r="AK330" s="42"/>
    </row>
    <row r="331" spans="25:37" ht="12.75" x14ac:dyDescent="0.35">
      <c r="Y331" s="39"/>
      <c r="Z331" s="39"/>
      <c r="AA331" s="39"/>
      <c r="AB331" s="39"/>
      <c r="AD331" s="40"/>
      <c r="AE331" s="41"/>
      <c r="AF331" s="42"/>
      <c r="AI331" s="49"/>
      <c r="AJ331" s="42"/>
      <c r="AK331" s="42"/>
    </row>
    <row r="332" spans="25:37" ht="12.75" x14ac:dyDescent="0.35">
      <c r="Y332" s="39"/>
      <c r="Z332" s="39"/>
      <c r="AA332" s="39"/>
      <c r="AB332" s="39"/>
      <c r="AD332" s="40"/>
      <c r="AE332" s="41"/>
      <c r="AF332" s="42"/>
      <c r="AI332" s="49"/>
      <c r="AJ332" s="42"/>
      <c r="AK332" s="42"/>
    </row>
    <row r="333" spans="25:37" ht="12.75" x14ac:dyDescent="0.35">
      <c r="Y333" s="39"/>
      <c r="Z333" s="39"/>
      <c r="AA333" s="39"/>
      <c r="AB333" s="39"/>
      <c r="AD333" s="40"/>
      <c r="AE333" s="41"/>
      <c r="AF333" s="42"/>
      <c r="AI333" s="49"/>
      <c r="AJ333" s="42"/>
      <c r="AK333" s="42"/>
    </row>
    <row r="334" spans="25:37" ht="12.75" x14ac:dyDescent="0.35">
      <c r="Y334" s="39"/>
      <c r="Z334" s="39"/>
      <c r="AA334" s="39"/>
      <c r="AB334" s="39"/>
      <c r="AD334" s="40"/>
      <c r="AE334" s="41"/>
      <c r="AF334" s="42"/>
      <c r="AI334" s="49"/>
      <c r="AJ334" s="42"/>
      <c r="AK334" s="42"/>
    </row>
    <row r="335" spans="25:37" ht="12.75" x14ac:dyDescent="0.35">
      <c r="Y335" s="39"/>
      <c r="Z335" s="39"/>
      <c r="AA335" s="39"/>
      <c r="AB335" s="39"/>
      <c r="AD335" s="40"/>
      <c r="AE335" s="41"/>
      <c r="AF335" s="42"/>
      <c r="AI335" s="49"/>
      <c r="AJ335" s="42"/>
      <c r="AK335" s="42"/>
    </row>
    <row r="336" spans="25:37" ht="12.75" x14ac:dyDescent="0.35">
      <c r="Y336" s="39"/>
      <c r="Z336" s="39"/>
      <c r="AA336" s="39"/>
      <c r="AB336" s="39"/>
      <c r="AD336" s="40"/>
      <c r="AE336" s="41"/>
      <c r="AF336" s="42"/>
      <c r="AI336" s="49"/>
      <c r="AJ336" s="42"/>
      <c r="AK336" s="42"/>
    </row>
    <row r="337" spans="25:37" ht="12.75" x14ac:dyDescent="0.35">
      <c r="Y337" s="39"/>
      <c r="Z337" s="39"/>
      <c r="AA337" s="39"/>
      <c r="AB337" s="39"/>
      <c r="AD337" s="40"/>
      <c r="AE337" s="41"/>
      <c r="AF337" s="42"/>
      <c r="AI337" s="49"/>
      <c r="AJ337" s="42"/>
      <c r="AK337" s="42"/>
    </row>
    <row r="338" spans="25:37" ht="12.75" x14ac:dyDescent="0.35">
      <c r="Y338" s="39"/>
      <c r="Z338" s="39"/>
      <c r="AA338" s="39"/>
      <c r="AB338" s="39"/>
      <c r="AD338" s="40"/>
      <c r="AE338" s="41"/>
      <c r="AF338" s="42"/>
      <c r="AI338" s="49"/>
      <c r="AJ338" s="42"/>
      <c r="AK338" s="42"/>
    </row>
    <row r="339" spans="25:37" ht="12.75" x14ac:dyDescent="0.35">
      <c r="Y339" s="39"/>
      <c r="Z339" s="39"/>
      <c r="AA339" s="39"/>
      <c r="AB339" s="39"/>
      <c r="AD339" s="40"/>
      <c r="AE339" s="41"/>
      <c r="AF339" s="42"/>
      <c r="AI339" s="49"/>
      <c r="AJ339" s="42"/>
      <c r="AK339" s="42"/>
    </row>
    <row r="340" spans="25:37" ht="12.75" x14ac:dyDescent="0.35">
      <c r="Y340" s="39"/>
      <c r="Z340" s="39"/>
      <c r="AA340" s="39"/>
      <c r="AB340" s="39"/>
      <c r="AD340" s="40"/>
      <c r="AE340" s="41"/>
      <c r="AF340" s="42"/>
      <c r="AI340" s="49"/>
      <c r="AJ340" s="42"/>
      <c r="AK340" s="42"/>
    </row>
    <row r="341" spans="25:37" ht="12.75" x14ac:dyDescent="0.35">
      <c r="Y341" s="39"/>
      <c r="Z341" s="39"/>
      <c r="AA341" s="39"/>
      <c r="AB341" s="39"/>
      <c r="AD341" s="40"/>
      <c r="AE341" s="41"/>
      <c r="AF341" s="42"/>
      <c r="AI341" s="49"/>
      <c r="AJ341" s="42"/>
      <c r="AK341" s="42"/>
    </row>
    <row r="342" spans="25:37" ht="12.75" x14ac:dyDescent="0.35">
      <c r="Y342" s="39"/>
      <c r="Z342" s="39"/>
      <c r="AA342" s="39"/>
      <c r="AB342" s="39"/>
      <c r="AD342" s="40"/>
      <c r="AE342" s="41"/>
      <c r="AF342" s="42"/>
      <c r="AI342" s="49"/>
      <c r="AJ342" s="42"/>
      <c r="AK342" s="42"/>
    </row>
    <row r="343" spans="25:37" ht="12.75" x14ac:dyDescent="0.35">
      <c r="Y343" s="39"/>
      <c r="Z343" s="39"/>
      <c r="AA343" s="39"/>
      <c r="AB343" s="39"/>
      <c r="AD343" s="40"/>
      <c r="AE343" s="41"/>
      <c r="AF343" s="42"/>
      <c r="AI343" s="49"/>
      <c r="AJ343" s="42"/>
      <c r="AK343" s="42"/>
    </row>
    <row r="344" spans="25:37" ht="12.75" x14ac:dyDescent="0.35">
      <c r="Y344" s="39"/>
      <c r="Z344" s="39"/>
      <c r="AA344" s="39"/>
      <c r="AB344" s="39"/>
      <c r="AD344" s="40"/>
      <c r="AE344" s="41"/>
      <c r="AF344" s="42"/>
      <c r="AI344" s="49"/>
      <c r="AJ344" s="42"/>
      <c r="AK344" s="42"/>
    </row>
    <row r="345" spans="25:37" ht="12.75" x14ac:dyDescent="0.35">
      <c r="Y345" s="39"/>
      <c r="Z345" s="39"/>
      <c r="AA345" s="39"/>
      <c r="AB345" s="39"/>
      <c r="AD345" s="40"/>
      <c r="AE345" s="41"/>
      <c r="AF345" s="42"/>
      <c r="AI345" s="49"/>
      <c r="AJ345" s="42"/>
      <c r="AK345" s="42"/>
    </row>
    <row r="346" spans="25:37" ht="12.75" x14ac:dyDescent="0.35">
      <c r="Y346" s="39"/>
      <c r="Z346" s="39"/>
      <c r="AA346" s="39"/>
      <c r="AB346" s="39"/>
      <c r="AD346" s="40"/>
      <c r="AE346" s="41"/>
      <c r="AF346" s="42"/>
      <c r="AI346" s="49"/>
      <c r="AJ346" s="42"/>
      <c r="AK346" s="42"/>
    </row>
    <row r="347" spans="25:37" ht="12.75" x14ac:dyDescent="0.35">
      <c r="Y347" s="39"/>
      <c r="Z347" s="39"/>
      <c r="AA347" s="39"/>
      <c r="AB347" s="39"/>
      <c r="AD347" s="40"/>
      <c r="AE347" s="41"/>
      <c r="AF347" s="42"/>
      <c r="AI347" s="49"/>
      <c r="AJ347" s="42"/>
      <c r="AK347" s="42"/>
    </row>
    <row r="348" spans="25:37" ht="12.75" x14ac:dyDescent="0.35">
      <c r="Y348" s="39"/>
      <c r="Z348" s="39"/>
      <c r="AA348" s="39"/>
      <c r="AB348" s="39"/>
      <c r="AD348" s="40"/>
      <c r="AE348" s="41"/>
      <c r="AF348" s="42"/>
      <c r="AI348" s="49"/>
      <c r="AJ348" s="42"/>
      <c r="AK348" s="42"/>
    </row>
    <row r="349" spans="25:37" ht="12.75" x14ac:dyDescent="0.35">
      <c r="Y349" s="39"/>
      <c r="Z349" s="39"/>
      <c r="AA349" s="39"/>
      <c r="AB349" s="39"/>
      <c r="AD349" s="40"/>
      <c r="AE349" s="41"/>
      <c r="AF349" s="42"/>
      <c r="AI349" s="49"/>
      <c r="AJ349" s="42"/>
      <c r="AK349" s="42"/>
    </row>
    <row r="350" spans="25:37" ht="12.75" x14ac:dyDescent="0.35">
      <c r="Y350" s="39"/>
      <c r="Z350" s="39"/>
      <c r="AA350" s="39"/>
      <c r="AB350" s="39"/>
      <c r="AD350" s="40"/>
      <c r="AE350" s="41"/>
      <c r="AF350" s="42"/>
      <c r="AI350" s="49"/>
      <c r="AJ350" s="42"/>
      <c r="AK350" s="42"/>
    </row>
    <row r="351" spans="25:37" ht="12.75" x14ac:dyDescent="0.35">
      <c r="Y351" s="39"/>
      <c r="Z351" s="39"/>
      <c r="AA351" s="39"/>
      <c r="AB351" s="39"/>
      <c r="AD351" s="40"/>
      <c r="AE351" s="41"/>
      <c r="AF351" s="42"/>
      <c r="AI351" s="49"/>
      <c r="AJ351" s="42"/>
      <c r="AK351" s="42"/>
    </row>
    <row r="352" spans="25:37" ht="12.75" x14ac:dyDescent="0.35">
      <c r="Y352" s="39"/>
      <c r="Z352" s="39"/>
      <c r="AA352" s="39"/>
      <c r="AB352" s="39"/>
      <c r="AD352" s="40"/>
      <c r="AE352" s="41"/>
      <c r="AF352" s="42"/>
      <c r="AI352" s="49"/>
      <c r="AJ352" s="42"/>
      <c r="AK352" s="42"/>
    </row>
    <row r="353" spans="25:37" ht="12.75" x14ac:dyDescent="0.35">
      <c r="Y353" s="39"/>
      <c r="Z353" s="39"/>
      <c r="AA353" s="39"/>
      <c r="AB353" s="39"/>
      <c r="AD353" s="40"/>
      <c r="AE353" s="41"/>
      <c r="AF353" s="42"/>
      <c r="AI353" s="49"/>
      <c r="AJ353" s="42"/>
      <c r="AK353" s="42"/>
    </row>
    <row r="354" spans="25:37" ht="12.75" x14ac:dyDescent="0.35">
      <c r="Y354" s="39"/>
      <c r="Z354" s="39"/>
      <c r="AA354" s="39"/>
      <c r="AB354" s="39"/>
      <c r="AD354" s="40"/>
      <c r="AE354" s="41"/>
      <c r="AF354" s="42"/>
      <c r="AI354" s="49"/>
      <c r="AJ354" s="42"/>
      <c r="AK354" s="42"/>
    </row>
    <row r="355" spans="25:37" ht="12.75" x14ac:dyDescent="0.35">
      <c r="Y355" s="39"/>
      <c r="Z355" s="39"/>
      <c r="AA355" s="39"/>
      <c r="AB355" s="39"/>
      <c r="AD355" s="40"/>
      <c r="AE355" s="41"/>
      <c r="AF355" s="42"/>
      <c r="AI355" s="49"/>
      <c r="AJ355" s="42"/>
      <c r="AK355" s="42"/>
    </row>
    <row r="356" spans="25:37" ht="12.75" x14ac:dyDescent="0.35">
      <c r="Y356" s="39"/>
      <c r="Z356" s="39"/>
      <c r="AA356" s="39"/>
      <c r="AB356" s="39"/>
      <c r="AD356" s="40"/>
      <c r="AE356" s="41"/>
      <c r="AF356" s="42"/>
      <c r="AI356" s="49"/>
      <c r="AJ356" s="42"/>
      <c r="AK356" s="42"/>
    </row>
    <row r="357" spans="25:37" ht="12.75" x14ac:dyDescent="0.35">
      <c r="Y357" s="39"/>
      <c r="Z357" s="39"/>
      <c r="AA357" s="39"/>
      <c r="AB357" s="39"/>
      <c r="AD357" s="40"/>
      <c r="AE357" s="41"/>
      <c r="AF357" s="42"/>
      <c r="AI357" s="49"/>
      <c r="AJ357" s="42"/>
      <c r="AK357" s="42"/>
    </row>
    <row r="358" spans="25:37" ht="12.75" x14ac:dyDescent="0.35">
      <c r="Y358" s="39"/>
      <c r="Z358" s="39"/>
      <c r="AA358" s="39"/>
      <c r="AB358" s="39"/>
      <c r="AD358" s="40"/>
      <c r="AE358" s="41"/>
      <c r="AF358" s="42"/>
      <c r="AI358" s="49"/>
      <c r="AJ358" s="42"/>
      <c r="AK358" s="42"/>
    </row>
    <row r="359" spans="25:37" ht="12.75" x14ac:dyDescent="0.35">
      <c r="Y359" s="39"/>
      <c r="Z359" s="39"/>
      <c r="AA359" s="39"/>
      <c r="AB359" s="39"/>
      <c r="AD359" s="40"/>
      <c r="AE359" s="41"/>
      <c r="AF359" s="42"/>
      <c r="AI359" s="49"/>
      <c r="AJ359" s="42"/>
      <c r="AK359" s="42"/>
    </row>
    <row r="360" spans="25:37" ht="12.75" x14ac:dyDescent="0.35">
      <c r="Y360" s="39"/>
      <c r="Z360" s="39"/>
      <c r="AA360" s="39"/>
      <c r="AB360" s="39"/>
      <c r="AD360" s="40"/>
      <c r="AE360" s="41"/>
      <c r="AF360" s="42"/>
      <c r="AI360" s="49"/>
      <c r="AJ360" s="42"/>
      <c r="AK360" s="42"/>
    </row>
    <row r="361" spans="25:37" ht="12.75" x14ac:dyDescent="0.35">
      <c r="Y361" s="39"/>
      <c r="Z361" s="39"/>
      <c r="AA361" s="39"/>
      <c r="AB361" s="39"/>
      <c r="AD361" s="40"/>
      <c r="AE361" s="41"/>
      <c r="AF361" s="42"/>
      <c r="AI361" s="49"/>
      <c r="AJ361" s="42"/>
      <c r="AK361" s="42"/>
    </row>
    <row r="362" spans="25:37" ht="12.75" x14ac:dyDescent="0.35">
      <c r="Y362" s="39"/>
      <c r="Z362" s="39"/>
      <c r="AA362" s="39"/>
      <c r="AB362" s="39"/>
      <c r="AD362" s="40"/>
      <c r="AE362" s="41"/>
      <c r="AF362" s="42"/>
      <c r="AI362" s="49"/>
      <c r="AJ362" s="42"/>
      <c r="AK362" s="42"/>
    </row>
    <row r="363" spans="25:37" ht="12.75" x14ac:dyDescent="0.35">
      <c r="Y363" s="39"/>
      <c r="Z363" s="39"/>
      <c r="AA363" s="39"/>
      <c r="AB363" s="39"/>
      <c r="AD363" s="40"/>
      <c r="AE363" s="41"/>
      <c r="AF363" s="42"/>
      <c r="AI363" s="49"/>
      <c r="AJ363" s="42"/>
      <c r="AK363" s="42"/>
    </row>
    <row r="364" spans="25:37" ht="12.75" x14ac:dyDescent="0.35">
      <c r="Y364" s="39"/>
      <c r="Z364" s="39"/>
      <c r="AA364" s="39"/>
      <c r="AB364" s="39"/>
      <c r="AD364" s="40"/>
      <c r="AE364" s="41"/>
      <c r="AF364" s="42"/>
      <c r="AI364" s="49"/>
      <c r="AJ364" s="42"/>
      <c r="AK364" s="42"/>
    </row>
    <row r="365" spans="25:37" ht="12.75" x14ac:dyDescent="0.35">
      <c r="Y365" s="39"/>
      <c r="Z365" s="39"/>
      <c r="AA365" s="39"/>
      <c r="AB365" s="39"/>
      <c r="AD365" s="40"/>
      <c r="AE365" s="41"/>
      <c r="AF365" s="42"/>
      <c r="AI365" s="49"/>
      <c r="AJ365" s="42"/>
      <c r="AK365" s="42"/>
    </row>
    <row r="366" spans="25:37" ht="12.75" x14ac:dyDescent="0.35">
      <c r="Y366" s="39"/>
      <c r="Z366" s="39"/>
      <c r="AA366" s="39"/>
      <c r="AB366" s="39"/>
      <c r="AD366" s="40"/>
      <c r="AE366" s="41"/>
      <c r="AF366" s="42"/>
      <c r="AI366" s="49"/>
      <c r="AJ366" s="42"/>
      <c r="AK366" s="42"/>
    </row>
    <row r="367" spans="25:37" ht="12.75" x14ac:dyDescent="0.35">
      <c r="Y367" s="39"/>
      <c r="Z367" s="39"/>
      <c r="AA367" s="39"/>
      <c r="AB367" s="39"/>
      <c r="AD367" s="40"/>
      <c r="AE367" s="41"/>
      <c r="AF367" s="42"/>
      <c r="AI367" s="49"/>
      <c r="AJ367" s="42"/>
      <c r="AK367" s="42"/>
    </row>
    <row r="368" spans="25:37" ht="12.75" x14ac:dyDescent="0.35">
      <c r="Y368" s="39"/>
      <c r="Z368" s="39"/>
      <c r="AA368" s="39"/>
      <c r="AB368" s="39"/>
      <c r="AD368" s="40"/>
      <c r="AE368" s="41"/>
      <c r="AF368" s="42"/>
      <c r="AI368" s="49"/>
      <c r="AJ368" s="42"/>
      <c r="AK368" s="42"/>
    </row>
    <row r="369" spans="25:37" ht="12.75" x14ac:dyDescent="0.35">
      <c r="Y369" s="39"/>
      <c r="Z369" s="39"/>
      <c r="AA369" s="39"/>
      <c r="AB369" s="39"/>
      <c r="AD369" s="40"/>
      <c r="AE369" s="41"/>
      <c r="AF369" s="42"/>
      <c r="AI369" s="49"/>
      <c r="AJ369" s="42"/>
      <c r="AK369" s="42"/>
    </row>
    <row r="370" spans="25:37" ht="12.75" x14ac:dyDescent="0.35">
      <c r="Y370" s="39"/>
      <c r="Z370" s="39"/>
      <c r="AA370" s="39"/>
      <c r="AB370" s="39"/>
      <c r="AD370" s="40"/>
      <c r="AE370" s="41"/>
      <c r="AF370" s="42"/>
      <c r="AI370" s="49"/>
      <c r="AJ370" s="42"/>
      <c r="AK370" s="42"/>
    </row>
    <row r="371" spans="25:37" ht="12.75" x14ac:dyDescent="0.35">
      <c r="Y371" s="39"/>
      <c r="Z371" s="39"/>
      <c r="AA371" s="39"/>
      <c r="AB371" s="39"/>
      <c r="AD371" s="40"/>
      <c r="AE371" s="41"/>
      <c r="AF371" s="42"/>
      <c r="AI371" s="49"/>
      <c r="AJ371" s="42"/>
      <c r="AK371" s="42"/>
    </row>
    <row r="372" spans="25:37" ht="12.75" x14ac:dyDescent="0.35">
      <c r="Y372" s="39"/>
      <c r="Z372" s="39"/>
      <c r="AA372" s="39"/>
      <c r="AB372" s="39"/>
      <c r="AD372" s="40"/>
      <c r="AE372" s="41"/>
      <c r="AF372" s="42"/>
      <c r="AI372" s="49"/>
      <c r="AJ372" s="42"/>
      <c r="AK372" s="42"/>
    </row>
    <row r="373" spans="25:37" ht="12.75" x14ac:dyDescent="0.35">
      <c r="Y373" s="39"/>
      <c r="Z373" s="39"/>
      <c r="AA373" s="39"/>
      <c r="AB373" s="39"/>
      <c r="AD373" s="40"/>
      <c r="AE373" s="41"/>
      <c r="AF373" s="42"/>
      <c r="AI373" s="49"/>
      <c r="AJ373" s="42"/>
      <c r="AK373" s="42"/>
    </row>
    <row r="374" spans="25:37" ht="12.75" x14ac:dyDescent="0.35">
      <c r="Y374" s="39"/>
      <c r="Z374" s="39"/>
      <c r="AA374" s="39"/>
      <c r="AB374" s="39"/>
      <c r="AD374" s="40"/>
      <c r="AE374" s="41"/>
      <c r="AF374" s="42"/>
      <c r="AI374" s="49"/>
      <c r="AJ374" s="42"/>
      <c r="AK374" s="42"/>
    </row>
    <row r="375" spans="25:37" ht="12.75" x14ac:dyDescent="0.35">
      <c r="Y375" s="39"/>
      <c r="Z375" s="39"/>
      <c r="AA375" s="39"/>
      <c r="AB375" s="39"/>
      <c r="AD375" s="40"/>
      <c r="AE375" s="41"/>
      <c r="AF375" s="42"/>
      <c r="AI375" s="49"/>
      <c r="AJ375" s="42"/>
      <c r="AK375" s="42"/>
    </row>
    <row r="376" spans="25:37" ht="12.75" x14ac:dyDescent="0.35">
      <c r="Y376" s="39"/>
      <c r="Z376" s="39"/>
      <c r="AA376" s="39"/>
      <c r="AB376" s="39"/>
      <c r="AD376" s="40"/>
      <c r="AE376" s="41"/>
      <c r="AF376" s="42"/>
      <c r="AI376" s="49"/>
      <c r="AJ376" s="42"/>
      <c r="AK376" s="42"/>
    </row>
    <row r="377" spans="25:37" ht="12.75" x14ac:dyDescent="0.35">
      <c r="Y377" s="39"/>
      <c r="Z377" s="39"/>
      <c r="AA377" s="39"/>
      <c r="AB377" s="39"/>
      <c r="AD377" s="40"/>
      <c r="AE377" s="41"/>
      <c r="AF377" s="42"/>
      <c r="AI377" s="49"/>
      <c r="AJ377" s="42"/>
      <c r="AK377" s="42"/>
    </row>
    <row r="378" spans="25:37" ht="12.75" x14ac:dyDescent="0.35">
      <c r="Y378" s="39"/>
      <c r="Z378" s="39"/>
      <c r="AA378" s="39"/>
      <c r="AB378" s="39"/>
      <c r="AD378" s="40"/>
      <c r="AE378" s="41"/>
      <c r="AF378" s="42"/>
      <c r="AI378" s="49"/>
      <c r="AJ378" s="42"/>
      <c r="AK378" s="42"/>
    </row>
    <row r="379" spans="25:37" ht="12.75" x14ac:dyDescent="0.35">
      <c r="Y379" s="39"/>
      <c r="Z379" s="39"/>
      <c r="AA379" s="39"/>
      <c r="AB379" s="39"/>
      <c r="AD379" s="40"/>
      <c r="AE379" s="41"/>
      <c r="AF379" s="42"/>
      <c r="AI379" s="49"/>
      <c r="AJ379" s="42"/>
      <c r="AK379" s="42"/>
    </row>
    <row r="380" spans="25:37" ht="12.75" x14ac:dyDescent="0.35">
      <c r="Y380" s="39"/>
      <c r="Z380" s="39"/>
      <c r="AA380" s="39"/>
      <c r="AB380" s="39"/>
      <c r="AD380" s="40"/>
      <c r="AE380" s="41"/>
      <c r="AF380" s="42"/>
      <c r="AI380" s="49"/>
      <c r="AJ380" s="42"/>
      <c r="AK380" s="42"/>
    </row>
    <row r="381" spans="25:37" ht="12.75" x14ac:dyDescent="0.35">
      <c r="Y381" s="39"/>
      <c r="Z381" s="39"/>
      <c r="AA381" s="39"/>
      <c r="AB381" s="39"/>
      <c r="AD381" s="40"/>
      <c r="AE381" s="41"/>
      <c r="AF381" s="42"/>
      <c r="AI381" s="49"/>
      <c r="AJ381" s="42"/>
      <c r="AK381" s="42"/>
    </row>
    <row r="382" spans="25:37" ht="12.75" x14ac:dyDescent="0.35">
      <c r="Y382" s="39"/>
      <c r="Z382" s="39"/>
      <c r="AA382" s="39"/>
      <c r="AB382" s="39"/>
      <c r="AD382" s="40"/>
      <c r="AE382" s="41"/>
      <c r="AF382" s="42"/>
      <c r="AI382" s="49"/>
      <c r="AJ382" s="42"/>
      <c r="AK382" s="42"/>
    </row>
    <row r="383" spans="25:37" ht="12.75" x14ac:dyDescent="0.35">
      <c r="Y383" s="39"/>
      <c r="Z383" s="39"/>
      <c r="AA383" s="39"/>
      <c r="AB383" s="39"/>
      <c r="AD383" s="40"/>
      <c r="AE383" s="41"/>
      <c r="AF383" s="42"/>
      <c r="AI383" s="49"/>
      <c r="AJ383" s="42"/>
      <c r="AK383" s="42"/>
    </row>
    <row r="384" spans="25:37" ht="12.75" x14ac:dyDescent="0.35">
      <c r="Y384" s="39"/>
      <c r="Z384" s="39"/>
      <c r="AA384" s="39"/>
      <c r="AB384" s="39"/>
      <c r="AD384" s="40"/>
      <c r="AE384" s="41"/>
      <c r="AF384" s="42"/>
      <c r="AI384" s="49"/>
      <c r="AJ384" s="42"/>
      <c r="AK384" s="42"/>
    </row>
    <row r="385" spans="25:37" ht="12.75" x14ac:dyDescent="0.35">
      <c r="Y385" s="39"/>
      <c r="Z385" s="39"/>
      <c r="AA385" s="39"/>
      <c r="AB385" s="39"/>
      <c r="AD385" s="40"/>
      <c r="AE385" s="41"/>
      <c r="AF385" s="42"/>
      <c r="AI385" s="49"/>
      <c r="AJ385" s="42"/>
      <c r="AK385" s="42"/>
    </row>
    <row r="386" spans="25:37" ht="12.75" x14ac:dyDescent="0.35">
      <c r="Y386" s="39"/>
      <c r="Z386" s="39"/>
      <c r="AA386" s="39"/>
      <c r="AB386" s="39"/>
      <c r="AD386" s="40"/>
      <c r="AE386" s="41"/>
      <c r="AF386" s="42"/>
      <c r="AI386" s="49"/>
      <c r="AJ386" s="42"/>
      <c r="AK386" s="42"/>
    </row>
    <row r="387" spans="25:37" ht="12.75" x14ac:dyDescent="0.35">
      <c r="Y387" s="39"/>
      <c r="Z387" s="39"/>
      <c r="AA387" s="39"/>
      <c r="AB387" s="39"/>
      <c r="AD387" s="40"/>
      <c r="AE387" s="41"/>
      <c r="AF387" s="42"/>
      <c r="AI387" s="49"/>
      <c r="AJ387" s="42"/>
      <c r="AK387" s="42"/>
    </row>
    <row r="388" spans="25:37" ht="12.75" x14ac:dyDescent="0.35">
      <c r="Y388" s="39"/>
      <c r="Z388" s="39"/>
      <c r="AA388" s="39"/>
      <c r="AB388" s="39"/>
      <c r="AD388" s="40"/>
      <c r="AE388" s="41"/>
      <c r="AF388" s="42"/>
      <c r="AI388" s="49"/>
      <c r="AJ388" s="42"/>
      <c r="AK388" s="42"/>
    </row>
    <row r="389" spans="25:37" ht="12.75" x14ac:dyDescent="0.35">
      <c r="Y389" s="39"/>
      <c r="Z389" s="39"/>
      <c r="AA389" s="39"/>
      <c r="AB389" s="39"/>
      <c r="AD389" s="40"/>
      <c r="AE389" s="41"/>
      <c r="AF389" s="42"/>
      <c r="AI389" s="49"/>
      <c r="AJ389" s="42"/>
      <c r="AK389" s="42"/>
    </row>
    <row r="390" spans="25:37" ht="12.75" x14ac:dyDescent="0.35">
      <c r="Y390" s="39"/>
      <c r="Z390" s="39"/>
      <c r="AA390" s="39"/>
      <c r="AB390" s="39"/>
      <c r="AD390" s="40"/>
      <c r="AE390" s="41"/>
      <c r="AF390" s="42"/>
      <c r="AI390" s="49"/>
      <c r="AJ390" s="42"/>
      <c r="AK390" s="42"/>
    </row>
    <row r="391" spans="25:37" ht="12.75" x14ac:dyDescent="0.35">
      <c r="Y391" s="39"/>
      <c r="Z391" s="39"/>
      <c r="AA391" s="39"/>
      <c r="AB391" s="39"/>
      <c r="AD391" s="40"/>
      <c r="AE391" s="41"/>
      <c r="AF391" s="42"/>
      <c r="AI391" s="49"/>
      <c r="AJ391" s="42"/>
      <c r="AK391" s="42"/>
    </row>
    <row r="392" spans="25:37" ht="12.75" x14ac:dyDescent="0.35">
      <c r="Y392" s="39"/>
      <c r="Z392" s="39"/>
      <c r="AA392" s="39"/>
      <c r="AB392" s="39"/>
      <c r="AD392" s="40"/>
      <c r="AE392" s="41"/>
      <c r="AF392" s="42"/>
      <c r="AI392" s="49"/>
      <c r="AJ392" s="42"/>
      <c r="AK392" s="42"/>
    </row>
    <row r="393" spans="25:37" ht="12.75" x14ac:dyDescent="0.35">
      <c r="Y393" s="39"/>
      <c r="Z393" s="39"/>
      <c r="AA393" s="39"/>
      <c r="AB393" s="39"/>
      <c r="AD393" s="40"/>
      <c r="AE393" s="41"/>
      <c r="AF393" s="42"/>
      <c r="AI393" s="49"/>
      <c r="AJ393" s="42"/>
      <c r="AK393" s="42"/>
    </row>
    <row r="394" spans="25:37" ht="12.75" x14ac:dyDescent="0.35">
      <c r="Y394" s="39"/>
      <c r="Z394" s="39"/>
      <c r="AA394" s="39"/>
      <c r="AB394" s="39"/>
      <c r="AD394" s="40"/>
      <c r="AE394" s="41"/>
      <c r="AF394" s="42"/>
      <c r="AI394" s="49"/>
      <c r="AJ394" s="42"/>
      <c r="AK394" s="42"/>
    </row>
    <row r="395" spans="25:37" ht="12.75" x14ac:dyDescent="0.35">
      <c r="Y395" s="39"/>
      <c r="Z395" s="39"/>
      <c r="AA395" s="39"/>
      <c r="AB395" s="39"/>
      <c r="AD395" s="40"/>
      <c r="AE395" s="41"/>
      <c r="AF395" s="42"/>
      <c r="AI395" s="49"/>
      <c r="AJ395" s="42"/>
      <c r="AK395" s="42"/>
    </row>
    <row r="396" spans="25:37" ht="12.75" x14ac:dyDescent="0.35">
      <c r="Y396" s="39"/>
      <c r="Z396" s="39"/>
      <c r="AA396" s="39"/>
      <c r="AB396" s="39"/>
      <c r="AD396" s="40"/>
      <c r="AE396" s="41"/>
      <c r="AF396" s="42"/>
      <c r="AI396" s="49"/>
      <c r="AJ396" s="42"/>
      <c r="AK396" s="42"/>
    </row>
    <row r="397" spans="25:37" ht="12.75" x14ac:dyDescent="0.35">
      <c r="Y397" s="39"/>
      <c r="Z397" s="39"/>
      <c r="AA397" s="39"/>
      <c r="AB397" s="39"/>
      <c r="AD397" s="40"/>
      <c r="AE397" s="41"/>
      <c r="AF397" s="42"/>
      <c r="AI397" s="49"/>
      <c r="AJ397" s="42"/>
      <c r="AK397" s="42"/>
    </row>
    <row r="398" spans="25:37" ht="12.75" x14ac:dyDescent="0.35">
      <c r="Y398" s="39"/>
      <c r="Z398" s="39"/>
      <c r="AA398" s="39"/>
      <c r="AB398" s="39"/>
      <c r="AD398" s="40"/>
      <c r="AE398" s="41"/>
      <c r="AF398" s="42"/>
      <c r="AI398" s="49"/>
      <c r="AJ398" s="42"/>
      <c r="AK398" s="42"/>
    </row>
    <row r="399" spans="25:37" ht="12.75" x14ac:dyDescent="0.35">
      <c r="Y399" s="39"/>
      <c r="Z399" s="39"/>
      <c r="AA399" s="39"/>
      <c r="AB399" s="39"/>
      <c r="AD399" s="40"/>
      <c r="AE399" s="41"/>
      <c r="AF399" s="42"/>
      <c r="AI399" s="49"/>
      <c r="AJ399" s="42"/>
      <c r="AK399" s="42"/>
    </row>
    <row r="400" spans="25:37" ht="12.75" x14ac:dyDescent="0.35">
      <c r="Y400" s="39"/>
      <c r="Z400" s="39"/>
      <c r="AA400" s="39"/>
      <c r="AB400" s="39"/>
      <c r="AD400" s="40"/>
      <c r="AE400" s="41"/>
      <c r="AF400" s="42"/>
      <c r="AI400" s="49"/>
      <c r="AJ400" s="42"/>
      <c r="AK400" s="42"/>
    </row>
    <row r="401" spans="25:37" ht="12.75" x14ac:dyDescent="0.35">
      <c r="Y401" s="39"/>
      <c r="Z401" s="39"/>
      <c r="AA401" s="39"/>
      <c r="AB401" s="39"/>
      <c r="AD401" s="40"/>
      <c r="AE401" s="41"/>
      <c r="AF401" s="42"/>
      <c r="AI401" s="49"/>
      <c r="AJ401" s="42"/>
      <c r="AK401" s="42"/>
    </row>
    <row r="402" spans="25:37" ht="12.75" x14ac:dyDescent="0.35">
      <c r="Y402" s="39"/>
      <c r="Z402" s="39"/>
      <c r="AA402" s="39"/>
      <c r="AB402" s="39"/>
      <c r="AD402" s="40"/>
      <c r="AE402" s="41"/>
      <c r="AF402" s="42"/>
      <c r="AI402" s="49"/>
      <c r="AJ402" s="42"/>
      <c r="AK402" s="42"/>
    </row>
    <row r="403" spans="25:37" ht="12.75" x14ac:dyDescent="0.35">
      <c r="Y403" s="39"/>
      <c r="Z403" s="39"/>
      <c r="AA403" s="39"/>
      <c r="AB403" s="39"/>
      <c r="AD403" s="40"/>
      <c r="AE403" s="41"/>
      <c r="AF403" s="42"/>
      <c r="AI403" s="49"/>
      <c r="AJ403" s="42"/>
      <c r="AK403" s="42"/>
    </row>
    <row r="404" spans="25:37" ht="12.75" x14ac:dyDescent="0.35">
      <c r="Y404" s="39"/>
      <c r="Z404" s="39"/>
      <c r="AA404" s="39"/>
      <c r="AB404" s="39"/>
      <c r="AD404" s="40"/>
      <c r="AE404" s="41"/>
      <c r="AF404" s="42"/>
      <c r="AI404" s="49"/>
      <c r="AJ404" s="42"/>
      <c r="AK404" s="42"/>
    </row>
    <row r="405" spans="25:37" ht="12.75" x14ac:dyDescent="0.35">
      <c r="Y405" s="39"/>
      <c r="Z405" s="39"/>
      <c r="AA405" s="39"/>
      <c r="AB405" s="39"/>
      <c r="AD405" s="40"/>
      <c r="AE405" s="41"/>
      <c r="AF405" s="42"/>
      <c r="AI405" s="49"/>
      <c r="AJ405" s="42"/>
      <c r="AK405" s="42"/>
    </row>
    <row r="406" spans="25:37" ht="12.75" x14ac:dyDescent="0.35">
      <c r="Y406" s="39"/>
      <c r="Z406" s="39"/>
      <c r="AA406" s="39"/>
      <c r="AB406" s="39"/>
      <c r="AD406" s="40"/>
      <c r="AE406" s="41"/>
      <c r="AF406" s="42"/>
      <c r="AI406" s="49"/>
      <c r="AJ406" s="42"/>
      <c r="AK406" s="42"/>
    </row>
    <row r="407" spans="25:37" ht="12.75" x14ac:dyDescent="0.35">
      <c r="Y407" s="39"/>
      <c r="Z407" s="39"/>
      <c r="AA407" s="39"/>
      <c r="AB407" s="39"/>
      <c r="AD407" s="40"/>
      <c r="AE407" s="41"/>
      <c r="AF407" s="42"/>
      <c r="AI407" s="49"/>
      <c r="AJ407" s="42"/>
      <c r="AK407" s="42"/>
    </row>
    <row r="408" spans="25:37" ht="12.75" x14ac:dyDescent="0.35">
      <c r="Y408" s="39"/>
      <c r="Z408" s="39"/>
      <c r="AA408" s="39"/>
      <c r="AB408" s="39"/>
      <c r="AD408" s="40"/>
      <c r="AE408" s="41"/>
      <c r="AF408" s="42"/>
      <c r="AI408" s="49"/>
      <c r="AJ408" s="42"/>
      <c r="AK408" s="42"/>
    </row>
    <row r="409" spans="25:37" ht="12.75" x14ac:dyDescent="0.35">
      <c r="Y409" s="39"/>
      <c r="Z409" s="39"/>
      <c r="AA409" s="39"/>
      <c r="AB409" s="39"/>
      <c r="AD409" s="40"/>
      <c r="AE409" s="41"/>
      <c r="AF409" s="42"/>
      <c r="AI409" s="49"/>
      <c r="AJ409" s="42"/>
      <c r="AK409" s="42"/>
    </row>
    <row r="410" spans="25:37" ht="12.75" x14ac:dyDescent="0.35">
      <c r="Y410" s="39"/>
      <c r="Z410" s="39"/>
      <c r="AA410" s="39"/>
      <c r="AB410" s="39"/>
      <c r="AD410" s="40"/>
      <c r="AE410" s="41"/>
      <c r="AF410" s="42"/>
      <c r="AI410" s="49"/>
      <c r="AJ410" s="42"/>
      <c r="AK410" s="42"/>
    </row>
    <row r="411" spans="25:37" ht="12.75" x14ac:dyDescent="0.35">
      <c r="Y411" s="39"/>
      <c r="Z411" s="39"/>
      <c r="AA411" s="39"/>
      <c r="AB411" s="39"/>
      <c r="AD411" s="40"/>
      <c r="AE411" s="41"/>
      <c r="AF411" s="42"/>
      <c r="AI411" s="49"/>
      <c r="AJ411" s="42"/>
      <c r="AK411" s="42"/>
    </row>
    <row r="412" spans="25:37" ht="12.75" x14ac:dyDescent="0.35">
      <c r="Y412" s="39"/>
      <c r="Z412" s="39"/>
      <c r="AA412" s="39"/>
      <c r="AB412" s="39"/>
      <c r="AD412" s="40"/>
      <c r="AE412" s="41"/>
      <c r="AF412" s="42"/>
      <c r="AI412" s="49"/>
      <c r="AJ412" s="42"/>
      <c r="AK412" s="42"/>
    </row>
    <row r="413" spans="25:37" ht="12.75" x14ac:dyDescent="0.35">
      <c r="Y413" s="39"/>
      <c r="Z413" s="39"/>
      <c r="AA413" s="39"/>
      <c r="AB413" s="39"/>
      <c r="AD413" s="40"/>
      <c r="AE413" s="41"/>
      <c r="AF413" s="42"/>
      <c r="AI413" s="49"/>
      <c r="AJ413" s="42"/>
      <c r="AK413" s="42"/>
    </row>
    <row r="414" spans="25:37" ht="12.75" x14ac:dyDescent="0.35">
      <c r="Y414" s="39"/>
      <c r="Z414" s="39"/>
      <c r="AA414" s="39"/>
      <c r="AB414" s="39"/>
      <c r="AD414" s="40"/>
      <c r="AE414" s="41"/>
      <c r="AF414" s="42"/>
      <c r="AI414" s="49"/>
      <c r="AJ414" s="42"/>
      <c r="AK414" s="42"/>
    </row>
    <row r="415" spans="25:37" ht="12.75" x14ac:dyDescent="0.35">
      <c r="Y415" s="39"/>
      <c r="Z415" s="39"/>
      <c r="AA415" s="39"/>
      <c r="AB415" s="39"/>
      <c r="AD415" s="40"/>
      <c r="AE415" s="41"/>
      <c r="AF415" s="42"/>
      <c r="AI415" s="49"/>
      <c r="AJ415" s="42"/>
      <c r="AK415" s="42"/>
    </row>
    <row r="416" spans="25:37" ht="12.75" x14ac:dyDescent="0.35">
      <c r="Y416" s="39"/>
      <c r="Z416" s="39"/>
      <c r="AA416" s="39"/>
      <c r="AB416" s="39"/>
      <c r="AD416" s="40"/>
      <c r="AE416" s="41"/>
      <c r="AF416" s="42"/>
      <c r="AI416" s="49"/>
      <c r="AJ416" s="42"/>
      <c r="AK416" s="42"/>
    </row>
    <row r="417" spans="25:37" ht="12.75" x14ac:dyDescent="0.35">
      <c r="Y417" s="39"/>
      <c r="Z417" s="39"/>
      <c r="AA417" s="39"/>
      <c r="AB417" s="39"/>
      <c r="AD417" s="40"/>
      <c r="AE417" s="41"/>
      <c r="AF417" s="42"/>
      <c r="AI417" s="49"/>
      <c r="AJ417" s="42"/>
      <c r="AK417" s="42"/>
    </row>
    <row r="418" spans="25:37" ht="12.75" x14ac:dyDescent="0.35">
      <c r="Y418" s="39"/>
      <c r="Z418" s="39"/>
      <c r="AA418" s="39"/>
      <c r="AB418" s="39"/>
      <c r="AD418" s="40"/>
      <c r="AE418" s="41"/>
      <c r="AF418" s="42"/>
      <c r="AI418" s="49"/>
      <c r="AJ418" s="42"/>
      <c r="AK418" s="42"/>
    </row>
    <row r="419" spans="25:37" ht="12.75" x14ac:dyDescent="0.35">
      <c r="Y419" s="39"/>
      <c r="Z419" s="39"/>
      <c r="AA419" s="39"/>
      <c r="AB419" s="39"/>
      <c r="AD419" s="40"/>
      <c r="AE419" s="41"/>
      <c r="AF419" s="42"/>
      <c r="AI419" s="49"/>
      <c r="AJ419" s="42"/>
      <c r="AK419" s="42"/>
    </row>
    <row r="420" spans="25:37" ht="12.75" x14ac:dyDescent="0.35">
      <c r="Y420" s="39"/>
      <c r="Z420" s="39"/>
      <c r="AA420" s="39"/>
      <c r="AB420" s="39"/>
      <c r="AD420" s="40"/>
      <c r="AE420" s="41"/>
      <c r="AF420" s="42"/>
      <c r="AI420" s="49"/>
      <c r="AJ420" s="42"/>
      <c r="AK420" s="42"/>
    </row>
    <row r="421" spans="25:37" ht="12.75" x14ac:dyDescent="0.35">
      <c r="Y421" s="39"/>
      <c r="Z421" s="39"/>
      <c r="AA421" s="39"/>
      <c r="AB421" s="39"/>
      <c r="AD421" s="40"/>
      <c r="AE421" s="41"/>
      <c r="AF421" s="42"/>
      <c r="AI421" s="49"/>
      <c r="AJ421" s="42"/>
      <c r="AK421" s="42"/>
    </row>
    <row r="422" spans="25:37" ht="12.75" x14ac:dyDescent="0.35">
      <c r="Y422" s="39"/>
      <c r="Z422" s="39"/>
      <c r="AA422" s="39"/>
      <c r="AB422" s="39"/>
      <c r="AD422" s="40"/>
      <c r="AE422" s="41"/>
      <c r="AF422" s="42"/>
      <c r="AI422" s="49"/>
      <c r="AJ422" s="42"/>
      <c r="AK422" s="42"/>
    </row>
    <row r="423" spans="25:37" ht="12.75" x14ac:dyDescent="0.35">
      <c r="Y423" s="39"/>
      <c r="Z423" s="39"/>
      <c r="AA423" s="39"/>
      <c r="AB423" s="39"/>
      <c r="AD423" s="40"/>
      <c r="AE423" s="41"/>
      <c r="AF423" s="42"/>
      <c r="AI423" s="49"/>
      <c r="AJ423" s="42"/>
      <c r="AK423" s="42"/>
    </row>
    <row r="424" spans="25:37" ht="12.75" x14ac:dyDescent="0.35">
      <c r="Y424" s="39"/>
      <c r="Z424" s="39"/>
      <c r="AA424" s="39"/>
      <c r="AB424" s="39"/>
      <c r="AD424" s="40"/>
      <c r="AE424" s="41"/>
      <c r="AF424" s="42"/>
      <c r="AI424" s="49"/>
      <c r="AJ424" s="42"/>
      <c r="AK424" s="42"/>
    </row>
    <row r="425" spans="25:37" ht="12.75" x14ac:dyDescent="0.35">
      <c r="Y425" s="39"/>
      <c r="Z425" s="39"/>
      <c r="AA425" s="39"/>
      <c r="AB425" s="39"/>
      <c r="AD425" s="40"/>
      <c r="AE425" s="41"/>
      <c r="AF425" s="42"/>
      <c r="AI425" s="49"/>
      <c r="AJ425" s="42"/>
      <c r="AK425" s="42"/>
    </row>
    <row r="426" spans="25:37" ht="12.75" x14ac:dyDescent="0.35">
      <c r="Y426" s="39"/>
      <c r="Z426" s="39"/>
      <c r="AA426" s="39"/>
      <c r="AB426" s="39"/>
      <c r="AD426" s="40"/>
      <c r="AE426" s="41"/>
      <c r="AF426" s="42"/>
      <c r="AI426" s="49"/>
      <c r="AJ426" s="42"/>
      <c r="AK426" s="42"/>
    </row>
    <row r="427" spans="25:37" ht="12.75" x14ac:dyDescent="0.35">
      <c r="Y427" s="39"/>
      <c r="Z427" s="39"/>
      <c r="AA427" s="39"/>
      <c r="AB427" s="39"/>
      <c r="AD427" s="40"/>
      <c r="AE427" s="41"/>
      <c r="AF427" s="42"/>
      <c r="AI427" s="49"/>
      <c r="AJ427" s="42"/>
      <c r="AK427" s="42"/>
    </row>
    <row r="428" spans="25:37" ht="12.75" x14ac:dyDescent="0.35">
      <c r="Y428" s="39"/>
      <c r="Z428" s="39"/>
      <c r="AA428" s="39"/>
      <c r="AB428" s="39"/>
      <c r="AD428" s="40"/>
      <c r="AE428" s="41"/>
      <c r="AF428" s="42"/>
      <c r="AI428" s="49"/>
      <c r="AJ428" s="42"/>
      <c r="AK428" s="42"/>
    </row>
    <row r="429" spans="25:37" ht="12.75" x14ac:dyDescent="0.35">
      <c r="Y429" s="39"/>
      <c r="Z429" s="39"/>
      <c r="AA429" s="39"/>
      <c r="AB429" s="39"/>
      <c r="AD429" s="40"/>
      <c r="AE429" s="41"/>
      <c r="AF429" s="42"/>
      <c r="AI429" s="49"/>
      <c r="AJ429" s="42"/>
      <c r="AK429" s="42"/>
    </row>
    <row r="430" spans="25:37" ht="12.75" x14ac:dyDescent="0.35">
      <c r="Y430" s="39"/>
      <c r="Z430" s="39"/>
      <c r="AA430" s="39"/>
      <c r="AB430" s="39"/>
      <c r="AD430" s="40"/>
      <c r="AE430" s="41"/>
      <c r="AF430" s="42"/>
      <c r="AI430" s="49"/>
      <c r="AJ430" s="42"/>
      <c r="AK430" s="42"/>
    </row>
    <row r="431" spans="25:37" ht="12.75" x14ac:dyDescent="0.35">
      <c r="Y431" s="39"/>
      <c r="Z431" s="39"/>
      <c r="AA431" s="39"/>
      <c r="AB431" s="39"/>
      <c r="AD431" s="40"/>
      <c r="AE431" s="41"/>
      <c r="AF431" s="42"/>
      <c r="AI431" s="49"/>
      <c r="AJ431" s="42"/>
      <c r="AK431" s="42"/>
    </row>
    <row r="432" spans="25:37" ht="12.75" x14ac:dyDescent="0.35">
      <c r="Y432" s="39"/>
      <c r="Z432" s="39"/>
      <c r="AA432" s="39"/>
      <c r="AB432" s="39"/>
      <c r="AD432" s="40"/>
      <c r="AE432" s="41"/>
      <c r="AF432" s="42"/>
      <c r="AI432" s="49"/>
      <c r="AJ432" s="42"/>
      <c r="AK432" s="42"/>
    </row>
    <row r="433" spans="25:37" ht="12.75" x14ac:dyDescent="0.35">
      <c r="Y433" s="39"/>
      <c r="Z433" s="39"/>
      <c r="AA433" s="39"/>
      <c r="AB433" s="39"/>
      <c r="AD433" s="40"/>
      <c r="AE433" s="41"/>
      <c r="AF433" s="42"/>
      <c r="AI433" s="49"/>
      <c r="AJ433" s="42"/>
      <c r="AK433" s="42"/>
    </row>
    <row r="434" spans="25:37" ht="12.75" x14ac:dyDescent="0.35">
      <c r="Y434" s="39"/>
      <c r="Z434" s="39"/>
      <c r="AA434" s="39"/>
      <c r="AB434" s="39"/>
      <c r="AD434" s="40"/>
      <c r="AE434" s="41"/>
      <c r="AF434" s="42"/>
      <c r="AI434" s="49"/>
      <c r="AJ434" s="42"/>
      <c r="AK434" s="42"/>
    </row>
    <row r="435" spans="25:37" ht="12.75" x14ac:dyDescent="0.35">
      <c r="Y435" s="39"/>
      <c r="Z435" s="39"/>
      <c r="AA435" s="39"/>
      <c r="AB435" s="39"/>
      <c r="AD435" s="40"/>
      <c r="AE435" s="41"/>
      <c r="AF435" s="42"/>
      <c r="AI435" s="49"/>
      <c r="AJ435" s="42"/>
      <c r="AK435" s="42"/>
    </row>
    <row r="436" spans="25:37" ht="12.75" x14ac:dyDescent="0.35">
      <c r="Y436" s="39"/>
      <c r="Z436" s="39"/>
      <c r="AA436" s="39"/>
      <c r="AB436" s="39"/>
      <c r="AD436" s="40"/>
      <c r="AE436" s="41"/>
      <c r="AF436" s="42"/>
      <c r="AI436" s="49"/>
      <c r="AJ436" s="42"/>
      <c r="AK436" s="42"/>
    </row>
    <row r="437" spans="25:37" ht="12.75" x14ac:dyDescent="0.35">
      <c r="Y437" s="39"/>
      <c r="Z437" s="39"/>
      <c r="AA437" s="39"/>
      <c r="AB437" s="39"/>
      <c r="AD437" s="40"/>
      <c r="AE437" s="41"/>
      <c r="AF437" s="42"/>
      <c r="AI437" s="49"/>
      <c r="AJ437" s="42"/>
      <c r="AK437" s="42"/>
    </row>
    <row r="438" spans="25:37" ht="12.75" x14ac:dyDescent="0.35">
      <c r="Y438" s="39"/>
      <c r="Z438" s="39"/>
      <c r="AA438" s="39"/>
      <c r="AB438" s="39"/>
      <c r="AD438" s="40"/>
      <c r="AE438" s="41"/>
      <c r="AF438" s="42"/>
      <c r="AI438" s="49"/>
      <c r="AJ438" s="42"/>
      <c r="AK438" s="42"/>
    </row>
    <row r="439" spans="25:37" ht="12.75" x14ac:dyDescent="0.35">
      <c r="Y439" s="39"/>
      <c r="Z439" s="39"/>
      <c r="AA439" s="39"/>
      <c r="AB439" s="39"/>
      <c r="AD439" s="40"/>
      <c r="AE439" s="41"/>
      <c r="AF439" s="42"/>
      <c r="AI439" s="49"/>
      <c r="AJ439" s="42"/>
      <c r="AK439" s="42"/>
    </row>
    <row r="440" spans="25:37" ht="12.75" x14ac:dyDescent="0.35">
      <c r="Y440" s="39"/>
      <c r="Z440" s="39"/>
      <c r="AA440" s="39"/>
      <c r="AB440" s="39"/>
      <c r="AD440" s="40"/>
      <c r="AE440" s="41"/>
      <c r="AF440" s="42"/>
      <c r="AI440" s="49"/>
      <c r="AJ440" s="42"/>
      <c r="AK440" s="42"/>
    </row>
    <row r="441" spans="25:37" ht="12.75" x14ac:dyDescent="0.35">
      <c r="Y441" s="39"/>
      <c r="Z441" s="39"/>
      <c r="AA441" s="39"/>
      <c r="AB441" s="39"/>
      <c r="AD441" s="40"/>
      <c r="AE441" s="41"/>
      <c r="AF441" s="42"/>
      <c r="AI441" s="49"/>
      <c r="AJ441" s="42"/>
      <c r="AK441" s="42"/>
    </row>
    <row r="442" spans="25:37" ht="12.75" x14ac:dyDescent="0.35">
      <c r="Y442" s="39"/>
      <c r="Z442" s="39"/>
      <c r="AA442" s="39"/>
      <c r="AB442" s="39"/>
      <c r="AD442" s="40"/>
      <c r="AE442" s="41"/>
      <c r="AF442" s="42"/>
      <c r="AI442" s="49"/>
      <c r="AJ442" s="42"/>
      <c r="AK442" s="42"/>
    </row>
    <row r="443" spans="25:37" ht="12.75" x14ac:dyDescent="0.35">
      <c r="Y443" s="39"/>
      <c r="Z443" s="39"/>
      <c r="AA443" s="39"/>
      <c r="AB443" s="39"/>
      <c r="AD443" s="40"/>
      <c r="AE443" s="41"/>
      <c r="AF443" s="42"/>
      <c r="AI443" s="49"/>
      <c r="AJ443" s="42"/>
      <c r="AK443" s="42"/>
    </row>
    <row r="444" spans="25:37" ht="12.75" x14ac:dyDescent="0.35">
      <c r="Y444" s="39"/>
      <c r="Z444" s="39"/>
      <c r="AA444" s="39"/>
      <c r="AB444" s="39"/>
      <c r="AD444" s="40"/>
      <c r="AE444" s="41"/>
      <c r="AF444" s="42"/>
      <c r="AI444" s="49"/>
      <c r="AJ444" s="42"/>
      <c r="AK444" s="42"/>
    </row>
    <row r="445" spans="25:37" ht="12.75" x14ac:dyDescent="0.35">
      <c r="Y445" s="39"/>
      <c r="Z445" s="39"/>
      <c r="AA445" s="39"/>
      <c r="AB445" s="39"/>
      <c r="AD445" s="40"/>
      <c r="AE445" s="41"/>
      <c r="AF445" s="42"/>
      <c r="AI445" s="49"/>
      <c r="AJ445" s="42"/>
      <c r="AK445" s="42"/>
    </row>
    <row r="446" spans="25:37" ht="12.75" x14ac:dyDescent="0.35">
      <c r="Y446" s="39"/>
      <c r="Z446" s="39"/>
      <c r="AA446" s="39"/>
      <c r="AB446" s="39"/>
      <c r="AD446" s="40"/>
      <c r="AE446" s="41"/>
      <c r="AF446" s="42"/>
      <c r="AI446" s="49"/>
      <c r="AJ446" s="42"/>
      <c r="AK446" s="42"/>
    </row>
    <row r="447" spans="25:37" ht="12.75" x14ac:dyDescent="0.35">
      <c r="Y447" s="39"/>
      <c r="Z447" s="39"/>
      <c r="AA447" s="39"/>
      <c r="AB447" s="39"/>
      <c r="AD447" s="40"/>
      <c r="AE447" s="41"/>
      <c r="AF447" s="42"/>
      <c r="AI447" s="49"/>
      <c r="AJ447" s="42"/>
      <c r="AK447" s="42"/>
    </row>
    <row r="448" spans="25:37" ht="12.75" x14ac:dyDescent="0.35">
      <c r="Y448" s="39"/>
      <c r="Z448" s="39"/>
      <c r="AA448" s="39"/>
      <c r="AB448" s="39"/>
      <c r="AD448" s="40"/>
      <c r="AE448" s="41"/>
      <c r="AF448" s="42"/>
      <c r="AI448" s="49"/>
      <c r="AJ448" s="42"/>
      <c r="AK448" s="42"/>
    </row>
    <row r="449" spans="25:37" ht="12.75" x14ac:dyDescent="0.35">
      <c r="Y449" s="39"/>
      <c r="Z449" s="39"/>
      <c r="AA449" s="39"/>
      <c r="AB449" s="39"/>
      <c r="AD449" s="40"/>
      <c r="AE449" s="41"/>
      <c r="AF449" s="42"/>
      <c r="AI449" s="49"/>
      <c r="AJ449" s="42"/>
      <c r="AK449" s="42"/>
    </row>
    <row r="450" spans="25:37" ht="12.75" x14ac:dyDescent="0.35">
      <c r="Y450" s="39"/>
      <c r="Z450" s="39"/>
      <c r="AA450" s="39"/>
      <c r="AB450" s="39"/>
      <c r="AD450" s="40"/>
      <c r="AE450" s="41"/>
      <c r="AF450" s="42"/>
      <c r="AI450" s="49"/>
      <c r="AJ450" s="42"/>
      <c r="AK450" s="42"/>
    </row>
    <row r="451" spans="25:37" ht="12.75" x14ac:dyDescent="0.35">
      <c r="Y451" s="39"/>
      <c r="Z451" s="39"/>
      <c r="AA451" s="39"/>
      <c r="AB451" s="39"/>
      <c r="AD451" s="40"/>
      <c r="AE451" s="41"/>
      <c r="AF451" s="42"/>
      <c r="AI451" s="49"/>
      <c r="AJ451" s="42"/>
      <c r="AK451" s="42"/>
    </row>
    <row r="452" spans="25:37" ht="12.75" x14ac:dyDescent="0.35">
      <c r="Y452" s="39"/>
      <c r="Z452" s="39"/>
      <c r="AA452" s="39"/>
      <c r="AB452" s="39"/>
      <c r="AD452" s="40"/>
      <c r="AE452" s="41"/>
      <c r="AF452" s="42"/>
      <c r="AI452" s="49"/>
      <c r="AJ452" s="42"/>
      <c r="AK452" s="42"/>
    </row>
    <row r="453" spans="25:37" ht="12.75" x14ac:dyDescent="0.35">
      <c r="Y453" s="39"/>
      <c r="Z453" s="39"/>
      <c r="AA453" s="39"/>
      <c r="AB453" s="39"/>
      <c r="AD453" s="40"/>
      <c r="AE453" s="41"/>
      <c r="AF453" s="42"/>
      <c r="AI453" s="49"/>
      <c r="AJ453" s="42"/>
      <c r="AK453" s="42"/>
    </row>
    <row r="454" spans="25:37" ht="12.75" x14ac:dyDescent="0.35">
      <c r="Y454" s="39"/>
      <c r="Z454" s="39"/>
      <c r="AA454" s="39"/>
      <c r="AB454" s="39"/>
      <c r="AD454" s="40"/>
      <c r="AE454" s="41"/>
      <c r="AF454" s="42"/>
      <c r="AI454" s="49"/>
      <c r="AJ454" s="42"/>
      <c r="AK454" s="42"/>
    </row>
    <row r="455" spans="25:37" ht="12.75" x14ac:dyDescent="0.35">
      <c r="Y455" s="39"/>
      <c r="Z455" s="39"/>
      <c r="AA455" s="39"/>
      <c r="AB455" s="39"/>
      <c r="AD455" s="40"/>
      <c r="AE455" s="41"/>
      <c r="AF455" s="42"/>
      <c r="AI455" s="49"/>
      <c r="AJ455" s="42"/>
      <c r="AK455" s="42"/>
    </row>
    <row r="456" spans="25:37" ht="12.75" x14ac:dyDescent="0.35">
      <c r="Y456" s="39"/>
      <c r="Z456" s="39"/>
      <c r="AA456" s="39"/>
      <c r="AB456" s="39"/>
      <c r="AD456" s="40"/>
      <c r="AE456" s="41"/>
      <c r="AF456" s="42"/>
      <c r="AI456" s="49"/>
      <c r="AJ456" s="42"/>
      <c r="AK456" s="42"/>
    </row>
    <row r="457" spans="25:37" ht="12.75" x14ac:dyDescent="0.35">
      <c r="Y457" s="39"/>
      <c r="Z457" s="39"/>
      <c r="AA457" s="39"/>
      <c r="AB457" s="39"/>
      <c r="AD457" s="40"/>
      <c r="AE457" s="41"/>
      <c r="AF457" s="42"/>
      <c r="AI457" s="49"/>
      <c r="AJ457" s="42"/>
      <c r="AK457" s="42"/>
    </row>
    <row r="458" spans="25:37" ht="12.75" x14ac:dyDescent="0.35">
      <c r="Y458" s="39"/>
      <c r="Z458" s="39"/>
      <c r="AA458" s="39"/>
      <c r="AB458" s="39"/>
      <c r="AD458" s="40"/>
      <c r="AE458" s="41"/>
      <c r="AF458" s="42"/>
      <c r="AI458" s="49"/>
      <c r="AJ458" s="42"/>
      <c r="AK458" s="42"/>
    </row>
    <row r="459" spans="25:37" ht="12.75" x14ac:dyDescent="0.35">
      <c r="Y459" s="39"/>
      <c r="Z459" s="39"/>
      <c r="AA459" s="39"/>
      <c r="AB459" s="39"/>
      <c r="AD459" s="40"/>
      <c r="AE459" s="41"/>
      <c r="AF459" s="42"/>
      <c r="AI459" s="49"/>
      <c r="AJ459" s="42"/>
      <c r="AK459" s="42"/>
    </row>
    <row r="460" spans="25:37" ht="12.75" x14ac:dyDescent="0.35">
      <c r="Y460" s="39"/>
      <c r="Z460" s="39"/>
      <c r="AA460" s="39"/>
      <c r="AB460" s="39"/>
      <c r="AD460" s="40"/>
      <c r="AE460" s="41"/>
      <c r="AF460" s="42"/>
      <c r="AI460" s="49"/>
      <c r="AJ460" s="42"/>
      <c r="AK460" s="42"/>
    </row>
    <row r="461" spans="25:37" ht="12.75" x14ac:dyDescent="0.35">
      <c r="Y461" s="39"/>
      <c r="Z461" s="39"/>
      <c r="AA461" s="39"/>
      <c r="AB461" s="39"/>
      <c r="AD461" s="40"/>
      <c r="AE461" s="41"/>
      <c r="AF461" s="42"/>
      <c r="AI461" s="49"/>
      <c r="AJ461" s="42"/>
      <c r="AK461" s="42"/>
    </row>
    <row r="462" spans="25:37" ht="12.75" x14ac:dyDescent="0.35">
      <c r="Y462" s="39"/>
      <c r="Z462" s="39"/>
      <c r="AA462" s="39"/>
      <c r="AB462" s="39"/>
      <c r="AD462" s="40"/>
      <c r="AE462" s="41"/>
      <c r="AF462" s="42"/>
      <c r="AI462" s="49"/>
      <c r="AJ462" s="42"/>
      <c r="AK462" s="42"/>
    </row>
    <row r="463" spans="25:37" ht="12.75" x14ac:dyDescent="0.35">
      <c r="Y463" s="39"/>
      <c r="Z463" s="39"/>
      <c r="AA463" s="39"/>
      <c r="AB463" s="39"/>
      <c r="AD463" s="40"/>
      <c r="AE463" s="41"/>
      <c r="AF463" s="42"/>
      <c r="AI463" s="49"/>
      <c r="AJ463" s="42"/>
      <c r="AK463" s="42"/>
    </row>
    <row r="464" spans="25:37" ht="12.75" x14ac:dyDescent="0.35">
      <c r="Y464" s="39"/>
      <c r="Z464" s="39"/>
      <c r="AA464" s="39"/>
      <c r="AB464" s="39"/>
      <c r="AD464" s="40"/>
      <c r="AE464" s="41"/>
      <c r="AF464" s="42"/>
      <c r="AI464" s="49"/>
      <c r="AJ464" s="42"/>
      <c r="AK464" s="42"/>
    </row>
    <row r="465" spans="25:37" ht="12.75" x14ac:dyDescent="0.35">
      <c r="Y465" s="39"/>
      <c r="Z465" s="39"/>
      <c r="AA465" s="39"/>
      <c r="AB465" s="39"/>
      <c r="AD465" s="40"/>
      <c r="AE465" s="41"/>
      <c r="AF465" s="42"/>
      <c r="AI465" s="49"/>
      <c r="AJ465" s="42"/>
      <c r="AK465" s="42"/>
    </row>
    <row r="466" spans="25:37" ht="12.75" x14ac:dyDescent="0.35">
      <c r="Y466" s="39"/>
      <c r="Z466" s="39"/>
      <c r="AA466" s="39"/>
      <c r="AB466" s="39"/>
      <c r="AD466" s="40"/>
      <c r="AE466" s="41"/>
      <c r="AF466" s="42"/>
      <c r="AI466" s="49"/>
      <c r="AJ466" s="42"/>
      <c r="AK466" s="42"/>
    </row>
    <row r="467" spans="25:37" ht="12.75" x14ac:dyDescent="0.35">
      <c r="Y467" s="39"/>
      <c r="Z467" s="39"/>
      <c r="AA467" s="39"/>
      <c r="AB467" s="39"/>
      <c r="AD467" s="40"/>
      <c r="AE467" s="41"/>
      <c r="AF467" s="42"/>
      <c r="AI467" s="49"/>
      <c r="AJ467" s="42"/>
      <c r="AK467" s="42"/>
    </row>
    <row r="468" spans="25:37" ht="12.75" x14ac:dyDescent="0.35">
      <c r="Y468" s="39"/>
      <c r="Z468" s="39"/>
      <c r="AA468" s="39"/>
      <c r="AB468" s="39"/>
      <c r="AD468" s="40"/>
      <c r="AE468" s="41"/>
      <c r="AF468" s="42"/>
      <c r="AI468" s="49"/>
      <c r="AJ468" s="42"/>
      <c r="AK468" s="42"/>
    </row>
    <row r="469" spans="25:37" ht="12.75" x14ac:dyDescent="0.35">
      <c r="Y469" s="39"/>
      <c r="Z469" s="39"/>
      <c r="AA469" s="39"/>
      <c r="AB469" s="39"/>
      <c r="AD469" s="40"/>
      <c r="AE469" s="41"/>
      <c r="AF469" s="42"/>
      <c r="AI469" s="49"/>
      <c r="AJ469" s="42"/>
      <c r="AK469" s="42"/>
    </row>
    <row r="470" spans="25:37" ht="12.75" x14ac:dyDescent="0.35">
      <c r="Y470" s="39"/>
      <c r="Z470" s="39"/>
      <c r="AA470" s="39"/>
      <c r="AB470" s="39"/>
      <c r="AD470" s="40"/>
      <c r="AE470" s="41"/>
      <c r="AF470" s="42"/>
      <c r="AI470" s="49"/>
      <c r="AJ470" s="42"/>
      <c r="AK470" s="42"/>
    </row>
    <row r="471" spans="25:37" ht="12.75" x14ac:dyDescent="0.35">
      <c r="Y471" s="39"/>
      <c r="Z471" s="39"/>
      <c r="AA471" s="39"/>
      <c r="AB471" s="39"/>
      <c r="AD471" s="40"/>
      <c r="AE471" s="41"/>
      <c r="AF471" s="42"/>
      <c r="AI471" s="49"/>
      <c r="AJ471" s="42"/>
      <c r="AK471" s="42"/>
    </row>
    <row r="472" spans="25:37" ht="12.75" x14ac:dyDescent="0.35">
      <c r="Y472" s="39"/>
      <c r="Z472" s="39"/>
      <c r="AA472" s="39"/>
      <c r="AB472" s="39"/>
      <c r="AD472" s="40"/>
      <c r="AE472" s="41"/>
      <c r="AF472" s="42"/>
      <c r="AI472" s="49"/>
      <c r="AJ472" s="42"/>
      <c r="AK472" s="42"/>
    </row>
    <row r="473" spans="25:37" ht="12.75" x14ac:dyDescent="0.35">
      <c r="Y473" s="39"/>
      <c r="Z473" s="39"/>
      <c r="AA473" s="39"/>
      <c r="AB473" s="39"/>
      <c r="AD473" s="40"/>
      <c r="AE473" s="41"/>
      <c r="AF473" s="42"/>
      <c r="AI473" s="49"/>
      <c r="AJ473" s="42"/>
      <c r="AK473" s="42"/>
    </row>
    <row r="474" spans="25:37" ht="12.75" x14ac:dyDescent="0.35">
      <c r="Y474" s="39"/>
      <c r="Z474" s="39"/>
      <c r="AA474" s="39"/>
      <c r="AB474" s="39"/>
      <c r="AD474" s="40"/>
      <c r="AE474" s="41"/>
      <c r="AF474" s="42"/>
      <c r="AI474" s="49"/>
      <c r="AJ474" s="42"/>
      <c r="AK474" s="42"/>
    </row>
    <row r="475" spans="25:37" ht="12.75" x14ac:dyDescent="0.35">
      <c r="Y475" s="39"/>
      <c r="Z475" s="39"/>
      <c r="AA475" s="39"/>
      <c r="AB475" s="39"/>
      <c r="AD475" s="40"/>
      <c r="AE475" s="41"/>
      <c r="AF475" s="42"/>
      <c r="AI475" s="49"/>
      <c r="AJ475" s="42"/>
      <c r="AK475" s="42"/>
    </row>
    <row r="476" spans="25:37" ht="12.75" x14ac:dyDescent="0.35">
      <c r="Y476" s="39"/>
      <c r="Z476" s="39"/>
      <c r="AA476" s="39"/>
      <c r="AB476" s="39"/>
      <c r="AD476" s="40"/>
      <c r="AE476" s="41"/>
      <c r="AF476" s="42"/>
      <c r="AI476" s="49"/>
      <c r="AJ476" s="42"/>
      <c r="AK476" s="42"/>
    </row>
    <row r="477" spans="25:37" ht="12.75" x14ac:dyDescent="0.35">
      <c r="Y477" s="39"/>
      <c r="Z477" s="39"/>
      <c r="AA477" s="39"/>
      <c r="AB477" s="39"/>
      <c r="AD477" s="40"/>
      <c r="AE477" s="41"/>
      <c r="AF477" s="42"/>
      <c r="AI477" s="49"/>
      <c r="AJ477" s="42"/>
      <c r="AK477" s="42"/>
    </row>
    <row r="478" spans="25:37" ht="12.75" x14ac:dyDescent="0.35">
      <c r="Y478" s="39"/>
      <c r="Z478" s="39"/>
      <c r="AA478" s="39"/>
      <c r="AB478" s="39"/>
      <c r="AD478" s="40"/>
      <c r="AE478" s="41"/>
      <c r="AF478" s="42"/>
      <c r="AI478" s="49"/>
      <c r="AJ478" s="42"/>
      <c r="AK478" s="42"/>
    </row>
    <row r="479" spans="25:37" ht="12.75" x14ac:dyDescent="0.35">
      <c r="Y479" s="39"/>
      <c r="Z479" s="39"/>
      <c r="AA479" s="39"/>
      <c r="AB479" s="39"/>
      <c r="AD479" s="40"/>
      <c r="AE479" s="41"/>
      <c r="AF479" s="42"/>
      <c r="AI479" s="49"/>
      <c r="AJ479" s="42"/>
      <c r="AK479" s="42"/>
    </row>
    <row r="480" spans="25:37" ht="12.75" x14ac:dyDescent="0.35">
      <c r="Y480" s="39"/>
      <c r="Z480" s="39"/>
      <c r="AA480" s="39"/>
      <c r="AB480" s="39"/>
      <c r="AD480" s="40"/>
      <c r="AE480" s="41"/>
      <c r="AF480" s="42"/>
      <c r="AI480" s="49"/>
      <c r="AJ480" s="42"/>
      <c r="AK480" s="42"/>
    </row>
    <row r="481" spans="25:37" ht="12.75" x14ac:dyDescent="0.35">
      <c r="Y481" s="39"/>
      <c r="Z481" s="39"/>
      <c r="AA481" s="39"/>
      <c r="AB481" s="39"/>
      <c r="AD481" s="40"/>
      <c r="AE481" s="41"/>
      <c r="AF481" s="42"/>
      <c r="AI481" s="49"/>
      <c r="AJ481" s="42"/>
      <c r="AK481" s="42"/>
    </row>
    <row r="482" spans="25:37" ht="12.75" x14ac:dyDescent="0.35">
      <c r="Y482" s="39"/>
      <c r="Z482" s="39"/>
      <c r="AA482" s="39"/>
      <c r="AB482" s="39"/>
      <c r="AD482" s="40"/>
      <c r="AE482" s="41"/>
      <c r="AF482" s="42"/>
      <c r="AI482" s="49"/>
      <c r="AJ482" s="42"/>
      <c r="AK482" s="42"/>
    </row>
    <row r="483" spans="25:37" ht="12.75" x14ac:dyDescent="0.35">
      <c r="Y483" s="39"/>
      <c r="Z483" s="39"/>
      <c r="AA483" s="39"/>
      <c r="AB483" s="39"/>
      <c r="AD483" s="40"/>
      <c r="AE483" s="41"/>
      <c r="AF483" s="42"/>
      <c r="AI483" s="49"/>
      <c r="AJ483" s="42"/>
      <c r="AK483" s="42"/>
    </row>
    <row r="484" spans="25:37" ht="12.75" x14ac:dyDescent="0.35">
      <c r="Y484" s="39"/>
      <c r="Z484" s="39"/>
      <c r="AA484" s="39"/>
      <c r="AB484" s="39"/>
      <c r="AD484" s="40"/>
      <c r="AE484" s="41"/>
      <c r="AF484" s="42"/>
      <c r="AI484" s="49"/>
      <c r="AJ484" s="42"/>
      <c r="AK484" s="42"/>
    </row>
    <row r="485" spans="25:37" ht="12.75" x14ac:dyDescent="0.35">
      <c r="Y485" s="39"/>
      <c r="Z485" s="39"/>
      <c r="AA485" s="39"/>
      <c r="AB485" s="39"/>
      <c r="AD485" s="40"/>
      <c r="AE485" s="41"/>
      <c r="AF485" s="42"/>
      <c r="AI485" s="49"/>
      <c r="AJ485" s="42"/>
      <c r="AK485" s="42"/>
    </row>
    <row r="486" spans="25:37" ht="12.75" x14ac:dyDescent="0.35">
      <c r="Y486" s="39"/>
      <c r="Z486" s="39"/>
      <c r="AA486" s="39"/>
      <c r="AB486" s="39"/>
      <c r="AD486" s="40"/>
      <c r="AE486" s="41"/>
      <c r="AF486" s="42"/>
      <c r="AI486" s="49"/>
      <c r="AJ486" s="42"/>
      <c r="AK486" s="42"/>
    </row>
    <row r="487" spans="25:37" ht="12.75" x14ac:dyDescent="0.35">
      <c r="Y487" s="39"/>
      <c r="Z487" s="39"/>
      <c r="AA487" s="39"/>
      <c r="AB487" s="39"/>
      <c r="AD487" s="40"/>
      <c r="AE487" s="41"/>
      <c r="AF487" s="42"/>
      <c r="AI487" s="49"/>
      <c r="AJ487" s="42"/>
      <c r="AK487" s="42"/>
    </row>
    <row r="488" spans="25:37" ht="12.75" x14ac:dyDescent="0.35">
      <c r="Y488" s="39"/>
      <c r="Z488" s="39"/>
      <c r="AA488" s="39"/>
      <c r="AB488" s="39"/>
      <c r="AD488" s="40"/>
      <c r="AE488" s="41"/>
      <c r="AF488" s="42"/>
      <c r="AI488" s="49"/>
      <c r="AJ488" s="42"/>
      <c r="AK488" s="42"/>
    </row>
    <row r="489" spans="25:37" ht="12.75" x14ac:dyDescent="0.35">
      <c r="Y489" s="39"/>
      <c r="Z489" s="39"/>
      <c r="AA489" s="39"/>
      <c r="AB489" s="39"/>
      <c r="AD489" s="40"/>
      <c r="AE489" s="41"/>
      <c r="AF489" s="42"/>
      <c r="AI489" s="49"/>
      <c r="AJ489" s="42"/>
      <c r="AK489" s="42"/>
    </row>
    <row r="490" spans="25:37" ht="12.75" x14ac:dyDescent="0.35">
      <c r="Y490" s="39"/>
      <c r="Z490" s="39"/>
      <c r="AA490" s="39"/>
      <c r="AB490" s="39"/>
      <c r="AD490" s="40"/>
      <c r="AE490" s="41"/>
      <c r="AF490" s="42"/>
      <c r="AI490" s="49"/>
      <c r="AJ490" s="42"/>
      <c r="AK490" s="42"/>
    </row>
    <row r="491" spans="25:37" ht="12.75" x14ac:dyDescent="0.35">
      <c r="Y491" s="39"/>
      <c r="Z491" s="39"/>
      <c r="AA491" s="39"/>
      <c r="AB491" s="39"/>
      <c r="AD491" s="40"/>
      <c r="AE491" s="41"/>
      <c r="AF491" s="42"/>
      <c r="AI491" s="49"/>
      <c r="AJ491" s="42"/>
      <c r="AK491" s="42"/>
    </row>
    <row r="492" spans="25:37" ht="12.75" x14ac:dyDescent="0.35">
      <c r="Y492" s="39"/>
      <c r="Z492" s="39"/>
      <c r="AA492" s="39"/>
      <c r="AB492" s="39"/>
      <c r="AD492" s="40"/>
      <c r="AE492" s="41"/>
      <c r="AF492" s="42"/>
      <c r="AI492" s="49"/>
      <c r="AJ492" s="42"/>
      <c r="AK492" s="42"/>
    </row>
    <row r="493" spans="25:37" ht="12.75" x14ac:dyDescent="0.35">
      <c r="Y493" s="39"/>
      <c r="Z493" s="39"/>
      <c r="AA493" s="39"/>
      <c r="AB493" s="39"/>
      <c r="AD493" s="40"/>
      <c r="AE493" s="41"/>
      <c r="AF493" s="42"/>
      <c r="AI493" s="49"/>
      <c r="AJ493" s="42"/>
      <c r="AK493" s="42"/>
    </row>
    <row r="494" spans="25:37" ht="12.75" x14ac:dyDescent="0.35">
      <c r="Y494" s="39"/>
      <c r="Z494" s="39"/>
      <c r="AA494" s="39"/>
      <c r="AB494" s="39"/>
      <c r="AD494" s="40"/>
      <c r="AE494" s="41"/>
      <c r="AF494" s="42"/>
      <c r="AI494" s="49"/>
      <c r="AJ494" s="42"/>
      <c r="AK494" s="42"/>
    </row>
    <row r="495" spans="25:37" ht="12.75" x14ac:dyDescent="0.35">
      <c r="Y495" s="39"/>
      <c r="Z495" s="39"/>
      <c r="AA495" s="39"/>
      <c r="AB495" s="39"/>
      <c r="AD495" s="40"/>
      <c r="AE495" s="41"/>
      <c r="AF495" s="42"/>
      <c r="AI495" s="49"/>
      <c r="AJ495" s="42"/>
      <c r="AK495" s="42"/>
    </row>
    <row r="496" spans="25:37" ht="12.75" x14ac:dyDescent="0.35">
      <c r="Y496" s="39"/>
      <c r="Z496" s="39"/>
      <c r="AA496" s="39"/>
      <c r="AB496" s="39"/>
      <c r="AD496" s="40"/>
      <c r="AE496" s="41"/>
      <c r="AF496" s="42"/>
      <c r="AI496" s="49"/>
      <c r="AJ496" s="42"/>
      <c r="AK496" s="42"/>
    </row>
    <row r="497" spans="25:37" ht="12.75" x14ac:dyDescent="0.35">
      <c r="Y497" s="39"/>
      <c r="Z497" s="39"/>
      <c r="AA497" s="39"/>
      <c r="AB497" s="39"/>
      <c r="AD497" s="40"/>
      <c r="AE497" s="41"/>
      <c r="AF497" s="42"/>
      <c r="AI497" s="49"/>
      <c r="AJ497" s="42"/>
      <c r="AK497" s="42"/>
    </row>
    <row r="498" spans="25:37" ht="12.75" x14ac:dyDescent="0.35">
      <c r="Y498" s="39"/>
      <c r="Z498" s="39"/>
      <c r="AA498" s="39"/>
      <c r="AB498" s="39"/>
      <c r="AD498" s="40"/>
      <c r="AE498" s="41"/>
      <c r="AF498" s="42"/>
      <c r="AI498" s="49"/>
      <c r="AJ498" s="42"/>
      <c r="AK498" s="42"/>
    </row>
    <row r="499" spans="25:37" ht="12.75" x14ac:dyDescent="0.35">
      <c r="Y499" s="39"/>
      <c r="Z499" s="39"/>
      <c r="AA499" s="39"/>
      <c r="AB499" s="39"/>
      <c r="AD499" s="40"/>
      <c r="AE499" s="41"/>
      <c r="AF499" s="42"/>
      <c r="AI499" s="49"/>
      <c r="AJ499" s="42"/>
      <c r="AK499" s="42"/>
    </row>
    <row r="500" spans="25:37" ht="12.75" x14ac:dyDescent="0.35">
      <c r="Y500" s="39"/>
      <c r="Z500" s="39"/>
      <c r="AA500" s="39"/>
      <c r="AB500" s="39"/>
      <c r="AD500" s="40"/>
      <c r="AE500" s="41"/>
      <c r="AF500" s="42"/>
      <c r="AI500" s="49"/>
      <c r="AJ500" s="42"/>
      <c r="AK500" s="42"/>
    </row>
    <row r="501" spans="25:37" ht="12.75" x14ac:dyDescent="0.35">
      <c r="Y501" s="39"/>
      <c r="Z501" s="39"/>
      <c r="AA501" s="39"/>
      <c r="AB501" s="39"/>
      <c r="AD501" s="40"/>
      <c r="AE501" s="41"/>
      <c r="AF501" s="42"/>
      <c r="AI501" s="49"/>
      <c r="AJ501" s="42"/>
      <c r="AK501" s="42"/>
    </row>
    <row r="502" spans="25:37" ht="12.75" x14ac:dyDescent="0.35">
      <c r="Y502" s="39"/>
      <c r="Z502" s="39"/>
      <c r="AA502" s="39"/>
      <c r="AB502" s="39"/>
      <c r="AD502" s="40"/>
      <c r="AE502" s="41"/>
      <c r="AF502" s="42"/>
      <c r="AI502" s="49"/>
      <c r="AJ502" s="42"/>
      <c r="AK502" s="42"/>
    </row>
    <row r="503" spans="25:37" ht="12.75" x14ac:dyDescent="0.35">
      <c r="Y503" s="39"/>
      <c r="Z503" s="39"/>
      <c r="AA503" s="39"/>
      <c r="AB503" s="39"/>
      <c r="AD503" s="40"/>
      <c r="AE503" s="41"/>
      <c r="AF503" s="42"/>
      <c r="AI503" s="49"/>
      <c r="AJ503" s="42"/>
      <c r="AK503" s="42"/>
    </row>
    <row r="504" spans="25:37" ht="12.75" x14ac:dyDescent="0.35">
      <c r="Y504" s="39"/>
      <c r="Z504" s="39"/>
      <c r="AA504" s="39"/>
      <c r="AB504" s="39"/>
      <c r="AD504" s="40"/>
      <c r="AE504" s="41"/>
      <c r="AF504" s="42"/>
      <c r="AI504" s="49"/>
      <c r="AJ504" s="42"/>
      <c r="AK504" s="42"/>
    </row>
    <row r="505" spans="25:37" ht="12.75" x14ac:dyDescent="0.35">
      <c r="Y505" s="39"/>
      <c r="Z505" s="39"/>
      <c r="AA505" s="39"/>
      <c r="AB505" s="39"/>
      <c r="AD505" s="40"/>
      <c r="AE505" s="41"/>
      <c r="AF505" s="42"/>
      <c r="AI505" s="49"/>
      <c r="AJ505" s="42"/>
      <c r="AK505" s="42"/>
    </row>
    <row r="506" spans="25:37" ht="12.75" x14ac:dyDescent="0.35">
      <c r="Y506" s="39"/>
      <c r="Z506" s="39"/>
      <c r="AA506" s="39"/>
      <c r="AB506" s="39"/>
      <c r="AD506" s="40"/>
      <c r="AE506" s="41"/>
      <c r="AF506" s="42"/>
      <c r="AI506" s="49"/>
      <c r="AJ506" s="42"/>
      <c r="AK506" s="42"/>
    </row>
    <row r="507" spans="25:37" ht="12.75" x14ac:dyDescent="0.35">
      <c r="Y507" s="39"/>
      <c r="Z507" s="39"/>
      <c r="AA507" s="39"/>
      <c r="AB507" s="39"/>
      <c r="AD507" s="40"/>
      <c r="AE507" s="41"/>
      <c r="AF507" s="42"/>
      <c r="AI507" s="49"/>
      <c r="AJ507" s="42"/>
      <c r="AK507" s="42"/>
    </row>
    <row r="508" spans="25:37" ht="12.75" x14ac:dyDescent="0.35">
      <c r="Y508" s="39"/>
      <c r="Z508" s="39"/>
      <c r="AA508" s="39"/>
      <c r="AB508" s="39"/>
      <c r="AD508" s="40"/>
      <c r="AE508" s="41"/>
      <c r="AF508" s="42"/>
      <c r="AI508" s="49"/>
      <c r="AJ508" s="42"/>
      <c r="AK508" s="42"/>
    </row>
    <row r="509" spans="25:37" ht="12.75" x14ac:dyDescent="0.35">
      <c r="Y509" s="39"/>
      <c r="Z509" s="39"/>
      <c r="AA509" s="39"/>
      <c r="AB509" s="39"/>
      <c r="AD509" s="40"/>
      <c r="AE509" s="41"/>
      <c r="AF509" s="42"/>
      <c r="AI509" s="49"/>
      <c r="AJ509" s="42"/>
      <c r="AK509" s="42"/>
    </row>
    <row r="510" spans="25:37" ht="12.75" x14ac:dyDescent="0.35">
      <c r="Y510" s="39"/>
      <c r="Z510" s="39"/>
      <c r="AA510" s="39"/>
      <c r="AB510" s="39"/>
      <c r="AD510" s="40"/>
      <c r="AE510" s="41"/>
      <c r="AF510" s="42"/>
      <c r="AI510" s="49"/>
      <c r="AJ510" s="42"/>
      <c r="AK510" s="42"/>
    </row>
    <row r="511" spans="25:37" ht="12.75" x14ac:dyDescent="0.35">
      <c r="Y511" s="39"/>
      <c r="Z511" s="39"/>
      <c r="AA511" s="39"/>
      <c r="AB511" s="39"/>
      <c r="AD511" s="40"/>
      <c r="AE511" s="41"/>
      <c r="AF511" s="42"/>
      <c r="AI511" s="49"/>
      <c r="AJ511" s="42"/>
      <c r="AK511" s="42"/>
    </row>
    <row r="512" spans="25:37" ht="12.75" x14ac:dyDescent="0.35">
      <c r="Y512" s="39"/>
      <c r="Z512" s="39"/>
      <c r="AA512" s="39"/>
      <c r="AB512" s="39"/>
      <c r="AD512" s="40"/>
      <c r="AE512" s="41"/>
      <c r="AF512" s="42"/>
      <c r="AI512" s="49"/>
      <c r="AJ512" s="42"/>
      <c r="AK512" s="42"/>
    </row>
    <row r="513" spans="25:37" ht="12.75" x14ac:dyDescent="0.35">
      <c r="Y513" s="39"/>
      <c r="Z513" s="39"/>
      <c r="AA513" s="39"/>
      <c r="AB513" s="39"/>
      <c r="AD513" s="40"/>
      <c r="AE513" s="41"/>
      <c r="AF513" s="42"/>
      <c r="AI513" s="49"/>
      <c r="AJ513" s="42"/>
      <c r="AK513" s="42"/>
    </row>
    <row r="514" spans="25:37" ht="12.75" x14ac:dyDescent="0.35">
      <c r="Y514" s="39"/>
      <c r="Z514" s="39"/>
      <c r="AA514" s="39"/>
      <c r="AB514" s="39"/>
      <c r="AD514" s="40"/>
      <c r="AE514" s="41"/>
      <c r="AF514" s="42"/>
      <c r="AI514" s="49"/>
      <c r="AJ514" s="42"/>
      <c r="AK514" s="42"/>
    </row>
    <row r="515" spans="25:37" ht="12.75" x14ac:dyDescent="0.35">
      <c r="Y515" s="39"/>
      <c r="Z515" s="39"/>
      <c r="AA515" s="39"/>
      <c r="AB515" s="39"/>
      <c r="AD515" s="40"/>
      <c r="AE515" s="41"/>
      <c r="AF515" s="42"/>
      <c r="AI515" s="49"/>
      <c r="AJ515" s="42"/>
      <c r="AK515" s="42"/>
    </row>
    <row r="516" spans="25:37" ht="12.75" x14ac:dyDescent="0.35">
      <c r="Y516" s="39"/>
      <c r="Z516" s="39"/>
      <c r="AA516" s="39"/>
      <c r="AB516" s="39"/>
      <c r="AD516" s="40"/>
      <c r="AE516" s="41"/>
      <c r="AF516" s="42"/>
      <c r="AI516" s="49"/>
      <c r="AJ516" s="42"/>
      <c r="AK516" s="42"/>
    </row>
    <row r="517" spans="25:37" ht="12.75" x14ac:dyDescent="0.35">
      <c r="Y517" s="39"/>
      <c r="Z517" s="39"/>
      <c r="AA517" s="39"/>
      <c r="AB517" s="39"/>
      <c r="AD517" s="40"/>
      <c r="AE517" s="41"/>
      <c r="AF517" s="42"/>
      <c r="AI517" s="49"/>
      <c r="AJ517" s="42"/>
      <c r="AK517" s="42"/>
    </row>
    <row r="518" spans="25:37" ht="12.75" x14ac:dyDescent="0.35">
      <c r="Y518" s="39"/>
      <c r="Z518" s="39"/>
      <c r="AA518" s="39"/>
      <c r="AB518" s="39"/>
      <c r="AD518" s="40"/>
      <c r="AE518" s="41"/>
      <c r="AF518" s="42"/>
      <c r="AI518" s="49"/>
      <c r="AJ518" s="42"/>
      <c r="AK518" s="42"/>
    </row>
    <row r="519" spans="25:37" ht="12.75" x14ac:dyDescent="0.35">
      <c r="Y519" s="39"/>
      <c r="Z519" s="39"/>
      <c r="AA519" s="39"/>
      <c r="AB519" s="39"/>
      <c r="AD519" s="40"/>
      <c r="AE519" s="41"/>
      <c r="AF519" s="42"/>
      <c r="AI519" s="49"/>
      <c r="AJ519" s="42"/>
      <c r="AK519" s="42"/>
    </row>
    <row r="520" spans="25:37" ht="12.75" x14ac:dyDescent="0.35">
      <c r="Y520" s="39"/>
      <c r="Z520" s="39"/>
      <c r="AA520" s="39"/>
      <c r="AB520" s="39"/>
      <c r="AD520" s="40"/>
      <c r="AE520" s="41"/>
      <c r="AF520" s="42"/>
      <c r="AI520" s="49"/>
      <c r="AJ520" s="42"/>
      <c r="AK520" s="42"/>
    </row>
    <row r="521" spans="25:37" ht="12.75" x14ac:dyDescent="0.35">
      <c r="Y521" s="39"/>
      <c r="Z521" s="39"/>
      <c r="AA521" s="39"/>
      <c r="AB521" s="39"/>
      <c r="AD521" s="40"/>
      <c r="AE521" s="41"/>
      <c r="AF521" s="42"/>
      <c r="AI521" s="49"/>
      <c r="AJ521" s="42"/>
      <c r="AK521" s="42"/>
    </row>
    <row r="522" spans="25:37" ht="12.75" x14ac:dyDescent="0.35">
      <c r="Y522" s="39"/>
      <c r="Z522" s="39"/>
      <c r="AA522" s="39"/>
      <c r="AB522" s="39"/>
      <c r="AD522" s="40"/>
      <c r="AE522" s="41"/>
      <c r="AF522" s="42"/>
      <c r="AI522" s="49"/>
      <c r="AJ522" s="42"/>
      <c r="AK522" s="42"/>
    </row>
    <row r="523" spans="25:37" ht="12.75" x14ac:dyDescent="0.35">
      <c r="Y523" s="39"/>
      <c r="Z523" s="39"/>
      <c r="AA523" s="39"/>
      <c r="AB523" s="39"/>
      <c r="AD523" s="40"/>
      <c r="AE523" s="41"/>
      <c r="AF523" s="42"/>
      <c r="AI523" s="49"/>
      <c r="AJ523" s="42"/>
      <c r="AK523" s="42"/>
    </row>
    <row r="524" spans="25:37" ht="12.75" x14ac:dyDescent="0.35">
      <c r="Y524" s="39"/>
      <c r="Z524" s="39"/>
      <c r="AA524" s="39"/>
      <c r="AB524" s="39"/>
      <c r="AD524" s="40"/>
      <c r="AE524" s="41"/>
      <c r="AF524" s="42"/>
      <c r="AI524" s="49"/>
      <c r="AJ524" s="42"/>
      <c r="AK524" s="42"/>
    </row>
    <row r="525" spans="25:37" ht="12.75" x14ac:dyDescent="0.35">
      <c r="Y525" s="39"/>
      <c r="Z525" s="39"/>
      <c r="AA525" s="39"/>
      <c r="AB525" s="39"/>
      <c r="AD525" s="40"/>
      <c r="AE525" s="41"/>
      <c r="AF525" s="42"/>
      <c r="AI525" s="49"/>
      <c r="AJ525" s="42"/>
      <c r="AK525" s="42"/>
    </row>
    <row r="526" spans="25:37" ht="12.75" x14ac:dyDescent="0.35">
      <c r="Y526" s="39"/>
      <c r="Z526" s="39"/>
      <c r="AA526" s="39"/>
      <c r="AB526" s="39"/>
      <c r="AD526" s="40"/>
      <c r="AE526" s="41"/>
      <c r="AF526" s="42"/>
      <c r="AI526" s="49"/>
      <c r="AJ526" s="42"/>
      <c r="AK526" s="42"/>
    </row>
    <row r="527" spans="25:37" ht="12.75" x14ac:dyDescent="0.35">
      <c r="Y527" s="39"/>
      <c r="Z527" s="39"/>
      <c r="AA527" s="39"/>
      <c r="AB527" s="39"/>
      <c r="AD527" s="40"/>
      <c r="AE527" s="41"/>
      <c r="AF527" s="42"/>
      <c r="AI527" s="49"/>
      <c r="AJ527" s="42"/>
      <c r="AK527" s="42"/>
    </row>
    <row r="528" spans="25:37" ht="12.75" x14ac:dyDescent="0.35">
      <c r="Y528" s="39"/>
      <c r="Z528" s="39"/>
      <c r="AA528" s="39"/>
      <c r="AB528" s="39"/>
      <c r="AD528" s="40"/>
      <c r="AE528" s="41"/>
      <c r="AF528" s="42"/>
      <c r="AI528" s="49"/>
      <c r="AJ528" s="42"/>
      <c r="AK528" s="42"/>
    </row>
    <row r="529" spans="25:37" ht="12.75" x14ac:dyDescent="0.35">
      <c r="Y529" s="39"/>
      <c r="Z529" s="39"/>
      <c r="AA529" s="39"/>
      <c r="AB529" s="39"/>
      <c r="AD529" s="40"/>
      <c r="AE529" s="41"/>
      <c r="AF529" s="42"/>
      <c r="AI529" s="49"/>
      <c r="AJ529" s="42"/>
      <c r="AK529" s="42"/>
    </row>
    <row r="530" spans="25:37" ht="12.75" x14ac:dyDescent="0.35">
      <c r="Y530" s="39"/>
      <c r="Z530" s="39"/>
      <c r="AA530" s="39"/>
      <c r="AB530" s="39"/>
      <c r="AD530" s="40"/>
      <c r="AE530" s="41"/>
      <c r="AF530" s="42"/>
      <c r="AI530" s="49"/>
      <c r="AJ530" s="42"/>
      <c r="AK530" s="42"/>
    </row>
    <row r="531" spans="25:37" ht="12.75" x14ac:dyDescent="0.35">
      <c r="Y531" s="39"/>
      <c r="Z531" s="39"/>
      <c r="AA531" s="39"/>
      <c r="AB531" s="39"/>
      <c r="AD531" s="40"/>
      <c r="AE531" s="41"/>
      <c r="AF531" s="42"/>
      <c r="AI531" s="49"/>
      <c r="AJ531" s="42"/>
      <c r="AK531" s="42"/>
    </row>
    <row r="532" spans="25:37" ht="12.75" x14ac:dyDescent="0.35">
      <c r="Y532" s="39"/>
      <c r="Z532" s="39"/>
      <c r="AA532" s="39"/>
      <c r="AB532" s="39"/>
      <c r="AD532" s="40"/>
      <c r="AE532" s="41"/>
      <c r="AF532" s="42"/>
      <c r="AI532" s="49"/>
      <c r="AJ532" s="42"/>
      <c r="AK532" s="42"/>
    </row>
    <row r="533" spans="25:37" ht="12.75" x14ac:dyDescent="0.35">
      <c r="Y533" s="39"/>
      <c r="Z533" s="39"/>
      <c r="AA533" s="39"/>
      <c r="AB533" s="39"/>
      <c r="AD533" s="40"/>
      <c r="AE533" s="41"/>
      <c r="AF533" s="42"/>
      <c r="AI533" s="49"/>
      <c r="AJ533" s="42"/>
      <c r="AK533" s="42"/>
    </row>
    <row r="534" spans="25:37" ht="12.75" x14ac:dyDescent="0.35">
      <c r="Y534" s="39"/>
      <c r="Z534" s="39"/>
      <c r="AA534" s="39"/>
      <c r="AB534" s="39"/>
      <c r="AD534" s="40"/>
      <c r="AE534" s="41"/>
      <c r="AF534" s="42"/>
      <c r="AI534" s="49"/>
      <c r="AJ534" s="42"/>
      <c r="AK534" s="42"/>
    </row>
    <row r="535" spans="25:37" ht="12.75" x14ac:dyDescent="0.35">
      <c r="Y535" s="39"/>
      <c r="Z535" s="39"/>
      <c r="AA535" s="39"/>
      <c r="AB535" s="39"/>
      <c r="AD535" s="40"/>
      <c r="AE535" s="41"/>
      <c r="AF535" s="42"/>
      <c r="AI535" s="49"/>
      <c r="AJ535" s="42"/>
      <c r="AK535" s="42"/>
    </row>
    <row r="536" spans="25:37" ht="12.75" x14ac:dyDescent="0.35">
      <c r="Y536" s="39"/>
      <c r="Z536" s="39"/>
      <c r="AA536" s="39"/>
      <c r="AB536" s="39"/>
      <c r="AD536" s="40"/>
      <c r="AE536" s="41"/>
      <c r="AF536" s="42"/>
      <c r="AI536" s="49"/>
      <c r="AJ536" s="42"/>
      <c r="AK536" s="42"/>
    </row>
    <row r="537" spans="25:37" ht="12.75" x14ac:dyDescent="0.35">
      <c r="Y537" s="39"/>
      <c r="Z537" s="39"/>
      <c r="AA537" s="39"/>
      <c r="AB537" s="39"/>
      <c r="AD537" s="40"/>
      <c r="AE537" s="41"/>
      <c r="AF537" s="42"/>
      <c r="AI537" s="49"/>
      <c r="AJ537" s="42"/>
      <c r="AK537" s="42"/>
    </row>
    <row r="538" spans="25:37" ht="12.75" x14ac:dyDescent="0.35">
      <c r="Y538" s="39"/>
      <c r="Z538" s="39"/>
      <c r="AA538" s="39"/>
      <c r="AB538" s="39"/>
      <c r="AD538" s="40"/>
      <c r="AE538" s="41"/>
      <c r="AF538" s="42"/>
      <c r="AI538" s="49"/>
      <c r="AJ538" s="42"/>
      <c r="AK538" s="42"/>
    </row>
    <row r="539" spans="25:37" ht="12.75" x14ac:dyDescent="0.35">
      <c r="Y539" s="39"/>
      <c r="Z539" s="39"/>
      <c r="AA539" s="39"/>
      <c r="AB539" s="39"/>
      <c r="AD539" s="40"/>
      <c r="AE539" s="41"/>
      <c r="AF539" s="42"/>
      <c r="AI539" s="49"/>
      <c r="AJ539" s="42"/>
      <c r="AK539" s="42"/>
    </row>
    <row r="540" spans="25:37" ht="12.75" x14ac:dyDescent="0.35">
      <c r="Y540" s="39"/>
      <c r="Z540" s="39"/>
      <c r="AA540" s="39"/>
      <c r="AB540" s="39"/>
      <c r="AD540" s="40"/>
      <c r="AE540" s="41"/>
      <c r="AF540" s="42"/>
      <c r="AI540" s="49"/>
      <c r="AJ540" s="42"/>
      <c r="AK540" s="42"/>
    </row>
    <row r="541" spans="25:37" ht="12.75" x14ac:dyDescent="0.35">
      <c r="Y541" s="39"/>
      <c r="Z541" s="39"/>
      <c r="AA541" s="39"/>
      <c r="AB541" s="39"/>
      <c r="AD541" s="40"/>
      <c r="AE541" s="41"/>
      <c r="AF541" s="42"/>
      <c r="AI541" s="49"/>
      <c r="AJ541" s="42"/>
      <c r="AK541" s="42"/>
    </row>
    <row r="542" spans="25:37" ht="12.75" x14ac:dyDescent="0.35">
      <c r="Y542" s="39"/>
      <c r="Z542" s="39"/>
      <c r="AA542" s="39"/>
      <c r="AB542" s="39"/>
      <c r="AD542" s="40"/>
      <c r="AE542" s="41"/>
      <c r="AF542" s="42"/>
      <c r="AI542" s="49"/>
      <c r="AJ542" s="42"/>
      <c r="AK542" s="42"/>
    </row>
    <row r="543" spans="25:37" ht="12.75" x14ac:dyDescent="0.35">
      <c r="Y543" s="39"/>
      <c r="Z543" s="39"/>
      <c r="AA543" s="39"/>
      <c r="AB543" s="39"/>
      <c r="AD543" s="40"/>
      <c r="AE543" s="41"/>
      <c r="AF543" s="42"/>
      <c r="AI543" s="49"/>
      <c r="AJ543" s="42"/>
      <c r="AK543" s="42"/>
    </row>
    <row r="544" spans="25:37" ht="12.75" x14ac:dyDescent="0.35">
      <c r="Y544" s="39"/>
      <c r="Z544" s="39"/>
      <c r="AA544" s="39"/>
      <c r="AB544" s="39"/>
      <c r="AD544" s="40"/>
      <c r="AE544" s="41"/>
      <c r="AF544" s="42"/>
      <c r="AI544" s="49"/>
      <c r="AJ544" s="42"/>
      <c r="AK544" s="42"/>
    </row>
    <row r="545" spans="25:37" ht="12.75" x14ac:dyDescent="0.35">
      <c r="Y545" s="39"/>
      <c r="Z545" s="39"/>
      <c r="AA545" s="39"/>
      <c r="AB545" s="39"/>
      <c r="AD545" s="40"/>
      <c r="AE545" s="41"/>
      <c r="AF545" s="42"/>
      <c r="AI545" s="49"/>
      <c r="AJ545" s="42"/>
      <c r="AK545" s="42"/>
    </row>
    <row r="546" spans="25:37" ht="12.75" x14ac:dyDescent="0.35">
      <c r="Y546" s="39"/>
      <c r="Z546" s="39"/>
      <c r="AA546" s="39"/>
      <c r="AB546" s="39"/>
      <c r="AD546" s="40"/>
      <c r="AE546" s="41"/>
      <c r="AF546" s="42"/>
      <c r="AI546" s="49"/>
      <c r="AJ546" s="42"/>
      <c r="AK546" s="42"/>
    </row>
    <row r="547" spans="25:37" ht="12.75" x14ac:dyDescent="0.35">
      <c r="Y547" s="39"/>
      <c r="Z547" s="39"/>
      <c r="AA547" s="39"/>
      <c r="AB547" s="39"/>
      <c r="AD547" s="40"/>
      <c r="AE547" s="41"/>
      <c r="AF547" s="42"/>
      <c r="AI547" s="49"/>
      <c r="AJ547" s="42"/>
      <c r="AK547" s="42"/>
    </row>
    <row r="548" spans="25:37" ht="12.75" x14ac:dyDescent="0.35">
      <c r="Y548" s="39"/>
      <c r="Z548" s="39"/>
      <c r="AA548" s="39"/>
      <c r="AB548" s="39"/>
      <c r="AD548" s="40"/>
      <c r="AE548" s="41"/>
      <c r="AF548" s="42"/>
      <c r="AI548" s="49"/>
      <c r="AJ548" s="42"/>
      <c r="AK548" s="42"/>
    </row>
    <row r="549" spans="25:37" ht="12.75" x14ac:dyDescent="0.35">
      <c r="Y549" s="39"/>
      <c r="Z549" s="39"/>
      <c r="AA549" s="39"/>
      <c r="AB549" s="39"/>
      <c r="AD549" s="40"/>
      <c r="AE549" s="41"/>
      <c r="AF549" s="42"/>
      <c r="AI549" s="49"/>
      <c r="AJ549" s="42"/>
      <c r="AK549" s="42"/>
    </row>
    <row r="550" spans="25:37" ht="12.75" x14ac:dyDescent="0.35">
      <c r="Y550" s="39"/>
      <c r="Z550" s="39"/>
      <c r="AA550" s="39"/>
      <c r="AB550" s="39"/>
      <c r="AD550" s="40"/>
      <c r="AE550" s="41"/>
      <c r="AF550" s="42"/>
      <c r="AI550" s="49"/>
      <c r="AJ550" s="42"/>
      <c r="AK550" s="42"/>
    </row>
    <row r="551" spans="25:37" ht="12.75" x14ac:dyDescent="0.35">
      <c r="Y551" s="39"/>
      <c r="Z551" s="39"/>
      <c r="AA551" s="39"/>
      <c r="AB551" s="39"/>
      <c r="AD551" s="40"/>
      <c r="AE551" s="41"/>
      <c r="AF551" s="42"/>
      <c r="AI551" s="49"/>
      <c r="AJ551" s="42"/>
      <c r="AK551" s="42"/>
    </row>
    <row r="552" spans="25:37" ht="12.75" x14ac:dyDescent="0.35">
      <c r="Y552" s="39"/>
      <c r="Z552" s="39"/>
      <c r="AA552" s="39"/>
      <c r="AB552" s="39"/>
      <c r="AD552" s="40"/>
      <c r="AE552" s="41"/>
      <c r="AF552" s="42"/>
      <c r="AI552" s="49"/>
      <c r="AJ552" s="42"/>
      <c r="AK552" s="42"/>
    </row>
    <row r="553" spans="25:37" ht="12.75" x14ac:dyDescent="0.35">
      <c r="Y553" s="39"/>
      <c r="Z553" s="39"/>
      <c r="AA553" s="39"/>
      <c r="AB553" s="39"/>
      <c r="AD553" s="40"/>
      <c r="AE553" s="41"/>
      <c r="AF553" s="42"/>
      <c r="AI553" s="49"/>
      <c r="AJ553" s="42"/>
      <c r="AK553" s="42"/>
    </row>
    <row r="554" spans="25:37" ht="12.75" x14ac:dyDescent="0.35">
      <c r="Y554" s="39"/>
      <c r="Z554" s="39"/>
      <c r="AA554" s="39"/>
      <c r="AB554" s="39"/>
      <c r="AD554" s="40"/>
      <c r="AE554" s="41"/>
      <c r="AF554" s="42"/>
      <c r="AI554" s="49"/>
      <c r="AJ554" s="42"/>
      <c r="AK554" s="42"/>
    </row>
    <row r="555" spans="25:37" ht="12.75" x14ac:dyDescent="0.35">
      <c r="Y555" s="39"/>
      <c r="Z555" s="39"/>
      <c r="AA555" s="39"/>
      <c r="AB555" s="39"/>
      <c r="AD555" s="40"/>
      <c r="AE555" s="41"/>
      <c r="AF555" s="42"/>
      <c r="AI555" s="49"/>
      <c r="AJ555" s="42"/>
      <c r="AK555" s="42"/>
    </row>
    <row r="556" spans="25:37" ht="12.75" x14ac:dyDescent="0.35">
      <c r="Y556" s="39"/>
      <c r="Z556" s="39"/>
      <c r="AA556" s="39"/>
      <c r="AB556" s="39"/>
      <c r="AD556" s="40"/>
      <c r="AE556" s="41"/>
      <c r="AF556" s="42"/>
      <c r="AI556" s="49"/>
      <c r="AJ556" s="42"/>
      <c r="AK556" s="42"/>
    </row>
    <row r="557" spans="25:37" ht="12.75" x14ac:dyDescent="0.35">
      <c r="Y557" s="39"/>
      <c r="Z557" s="39"/>
      <c r="AA557" s="39"/>
      <c r="AB557" s="39"/>
      <c r="AD557" s="40"/>
      <c r="AE557" s="41"/>
      <c r="AF557" s="42"/>
      <c r="AI557" s="49"/>
      <c r="AJ557" s="42"/>
      <c r="AK557" s="42"/>
    </row>
    <row r="558" spans="25:37" ht="12.75" x14ac:dyDescent="0.35">
      <c r="Y558" s="39"/>
      <c r="Z558" s="39"/>
      <c r="AA558" s="39"/>
      <c r="AB558" s="39"/>
      <c r="AD558" s="40"/>
      <c r="AE558" s="41"/>
      <c r="AF558" s="42"/>
      <c r="AI558" s="49"/>
      <c r="AJ558" s="42"/>
      <c r="AK558" s="42"/>
    </row>
    <row r="559" spans="25:37" ht="12.75" x14ac:dyDescent="0.35">
      <c r="Y559" s="39"/>
      <c r="Z559" s="39"/>
      <c r="AA559" s="39"/>
      <c r="AB559" s="39"/>
      <c r="AD559" s="40"/>
      <c r="AE559" s="41"/>
      <c r="AF559" s="42"/>
      <c r="AI559" s="49"/>
      <c r="AJ559" s="42"/>
      <c r="AK559" s="42"/>
    </row>
    <row r="560" spans="25:37" ht="12.75" x14ac:dyDescent="0.35">
      <c r="Y560" s="39"/>
      <c r="Z560" s="39"/>
      <c r="AA560" s="39"/>
      <c r="AB560" s="39"/>
      <c r="AD560" s="40"/>
      <c r="AE560" s="41"/>
      <c r="AF560" s="42"/>
      <c r="AI560" s="49"/>
      <c r="AJ560" s="42"/>
      <c r="AK560" s="42"/>
    </row>
    <row r="561" spans="25:37" ht="12.75" x14ac:dyDescent="0.35">
      <c r="Y561" s="39"/>
      <c r="Z561" s="39"/>
      <c r="AA561" s="39"/>
      <c r="AB561" s="39"/>
      <c r="AD561" s="40"/>
      <c r="AE561" s="41"/>
      <c r="AF561" s="42"/>
      <c r="AI561" s="49"/>
      <c r="AJ561" s="42"/>
      <c r="AK561" s="42"/>
    </row>
    <row r="562" spans="25:37" ht="12.75" x14ac:dyDescent="0.35">
      <c r="Y562" s="39"/>
      <c r="Z562" s="39"/>
      <c r="AA562" s="39"/>
      <c r="AB562" s="39"/>
      <c r="AD562" s="40"/>
      <c r="AE562" s="41"/>
      <c r="AF562" s="42"/>
      <c r="AI562" s="49"/>
      <c r="AJ562" s="42"/>
      <c r="AK562" s="42"/>
    </row>
    <row r="563" spans="25:37" ht="12.75" x14ac:dyDescent="0.35">
      <c r="Y563" s="39"/>
      <c r="Z563" s="39"/>
      <c r="AA563" s="39"/>
      <c r="AB563" s="39"/>
      <c r="AD563" s="40"/>
      <c r="AE563" s="41"/>
      <c r="AF563" s="42"/>
      <c r="AI563" s="49"/>
      <c r="AJ563" s="42"/>
      <c r="AK563" s="42"/>
    </row>
    <row r="564" spans="25:37" ht="12.75" x14ac:dyDescent="0.35">
      <c r="Y564" s="39"/>
      <c r="Z564" s="39"/>
      <c r="AA564" s="39"/>
      <c r="AB564" s="39"/>
      <c r="AD564" s="40"/>
      <c r="AE564" s="41"/>
      <c r="AF564" s="42"/>
      <c r="AI564" s="49"/>
      <c r="AJ564" s="42"/>
      <c r="AK564" s="42"/>
    </row>
    <row r="565" spans="25:37" ht="12.75" x14ac:dyDescent="0.35">
      <c r="Y565" s="39"/>
      <c r="Z565" s="39"/>
      <c r="AA565" s="39"/>
      <c r="AB565" s="39"/>
      <c r="AD565" s="40"/>
      <c r="AE565" s="41"/>
      <c r="AF565" s="42"/>
      <c r="AI565" s="49"/>
      <c r="AJ565" s="42"/>
      <c r="AK565" s="42"/>
    </row>
    <row r="566" spans="25:37" ht="12.75" x14ac:dyDescent="0.35">
      <c r="Y566" s="39"/>
      <c r="Z566" s="39"/>
      <c r="AA566" s="39"/>
      <c r="AB566" s="39"/>
      <c r="AD566" s="40"/>
      <c r="AE566" s="41"/>
      <c r="AF566" s="42"/>
      <c r="AI566" s="49"/>
      <c r="AJ566" s="42"/>
      <c r="AK566" s="42"/>
    </row>
    <row r="567" spans="25:37" ht="12.75" x14ac:dyDescent="0.35">
      <c r="Y567" s="39"/>
      <c r="Z567" s="39"/>
      <c r="AA567" s="39"/>
      <c r="AB567" s="39"/>
      <c r="AD567" s="40"/>
      <c r="AE567" s="41"/>
      <c r="AF567" s="42"/>
      <c r="AI567" s="49"/>
      <c r="AJ567" s="42"/>
      <c r="AK567" s="42"/>
    </row>
    <row r="568" spans="25:37" ht="12.75" x14ac:dyDescent="0.35">
      <c r="Y568" s="39"/>
      <c r="Z568" s="39"/>
      <c r="AA568" s="39"/>
      <c r="AB568" s="39"/>
      <c r="AD568" s="40"/>
      <c r="AE568" s="41"/>
      <c r="AF568" s="42"/>
      <c r="AI568" s="49"/>
      <c r="AJ568" s="42"/>
      <c r="AK568" s="42"/>
    </row>
    <row r="569" spans="25:37" ht="12.75" x14ac:dyDescent="0.35">
      <c r="Y569" s="39"/>
      <c r="Z569" s="39"/>
      <c r="AA569" s="39"/>
      <c r="AB569" s="39"/>
      <c r="AD569" s="40"/>
      <c r="AE569" s="41"/>
      <c r="AF569" s="42"/>
      <c r="AI569" s="49"/>
      <c r="AJ569" s="42"/>
      <c r="AK569" s="42"/>
    </row>
    <row r="570" spans="25:37" ht="12.75" x14ac:dyDescent="0.35">
      <c r="Y570" s="39"/>
      <c r="Z570" s="39"/>
      <c r="AA570" s="39"/>
      <c r="AB570" s="39"/>
      <c r="AD570" s="40"/>
      <c r="AE570" s="41"/>
      <c r="AF570" s="42"/>
      <c r="AI570" s="49"/>
      <c r="AJ570" s="42"/>
      <c r="AK570" s="42"/>
    </row>
    <row r="571" spans="25:37" ht="12.75" x14ac:dyDescent="0.35">
      <c r="Y571" s="39"/>
      <c r="Z571" s="39"/>
      <c r="AA571" s="39"/>
      <c r="AB571" s="39"/>
      <c r="AD571" s="40"/>
      <c r="AE571" s="41"/>
      <c r="AF571" s="42"/>
      <c r="AI571" s="49"/>
      <c r="AJ571" s="42"/>
      <c r="AK571" s="42"/>
    </row>
    <row r="572" spans="25:37" ht="12.75" x14ac:dyDescent="0.35">
      <c r="Y572" s="39"/>
      <c r="Z572" s="39"/>
      <c r="AA572" s="39"/>
      <c r="AB572" s="39"/>
      <c r="AD572" s="40"/>
      <c r="AE572" s="41"/>
      <c r="AF572" s="42"/>
      <c r="AI572" s="49"/>
      <c r="AJ572" s="42"/>
      <c r="AK572" s="42"/>
    </row>
    <row r="573" spans="25:37" ht="12.75" x14ac:dyDescent="0.35">
      <c r="Y573" s="39"/>
      <c r="Z573" s="39"/>
      <c r="AA573" s="39"/>
      <c r="AB573" s="39"/>
      <c r="AD573" s="40"/>
      <c r="AE573" s="41"/>
      <c r="AF573" s="42"/>
      <c r="AI573" s="49"/>
      <c r="AJ573" s="42"/>
      <c r="AK573" s="42"/>
    </row>
    <row r="574" spans="25:37" ht="12.75" x14ac:dyDescent="0.35">
      <c r="Y574" s="39"/>
      <c r="Z574" s="39"/>
      <c r="AA574" s="39"/>
      <c r="AB574" s="39"/>
      <c r="AD574" s="40"/>
      <c r="AE574" s="41"/>
      <c r="AF574" s="42"/>
      <c r="AI574" s="49"/>
      <c r="AJ574" s="42"/>
      <c r="AK574" s="42"/>
    </row>
    <row r="575" spans="25:37" ht="12.75" x14ac:dyDescent="0.35">
      <c r="Y575" s="39"/>
      <c r="Z575" s="39"/>
      <c r="AA575" s="39"/>
      <c r="AB575" s="39"/>
      <c r="AD575" s="40"/>
      <c r="AE575" s="41"/>
      <c r="AF575" s="42"/>
      <c r="AI575" s="49"/>
      <c r="AJ575" s="42"/>
      <c r="AK575" s="42"/>
    </row>
    <row r="576" spans="25:37" ht="12.75" x14ac:dyDescent="0.35">
      <c r="Y576" s="39"/>
      <c r="Z576" s="39"/>
      <c r="AA576" s="39"/>
      <c r="AB576" s="39"/>
      <c r="AD576" s="40"/>
      <c r="AE576" s="41"/>
      <c r="AF576" s="42"/>
      <c r="AI576" s="49"/>
      <c r="AJ576" s="42"/>
      <c r="AK576" s="42"/>
    </row>
    <row r="577" spans="25:37" ht="12.75" x14ac:dyDescent="0.35">
      <c r="Y577" s="39"/>
      <c r="Z577" s="39"/>
      <c r="AA577" s="39"/>
      <c r="AB577" s="39"/>
      <c r="AD577" s="40"/>
      <c r="AE577" s="41"/>
      <c r="AF577" s="42"/>
      <c r="AI577" s="49"/>
      <c r="AJ577" s="42"/>
      <c r="AK577" s="42"/>
    </row>
    <row r="578" spans="25:37" ht="12.75" x14ac:dyDescent="0.35">
      <c r="Y578" s="39"/>
      <c r="Z578" s="39"/>
      <c r="AA578" s="39"/>
      <c r="AB578" s="39"/>
      <c r="AD578" s="40"/>
      <c r="AE578" s="41"/>
      <c r="AF578" s="42"/>
      <c r="AI578" s="49"/>
      <c r="AJ578" s="42"/>
      <c r="AK578" s="42"/>
    </row>
    <row r="579" spans="25:37" ht="12.75" x14ac:dyDescent="0.35">
      <c r="Y579" s="39"/>
      <c r="Z579" s="39"/>
      <c r="AA579" s="39"/>
      <c r="AB579" s="39"/>
      <c r="AD579" s="40"/>
      <c r="AE579" s="41"/>
      <c r="AF579" s="42"/>
      <c r="AI579" s="49"/>
      <c r="AJ579" s="42"/>
      <c r="AK579" s="42"/>
    </row>
    <row r="580" spans="25:37" ht="12.75" x14ac:dyDescent="0.35">
      <c r="Y580" s="39"/>
      <c r="Z580" s="39"/>
      <c r="AA580" s="39"/>
      <c r="AB580" s="39"/>
      <c r="AD580" s="40"/>
      <c r="AE580" s="41"/>
      <c r="AF580" s="42"/>
      <c r="AI580" s="49"/>
      <c r="AJ580" s="42"/>
      <c r="AK580" s="42"/>
    </row>
    <row r="581" spans="25:37" ht="12.75" x14ac:dyDescent="0.35">
      <c r="Y581" s="39"/>
      <c r="Z581" s="39"/>
      <c r="AA581" s="39"/>
      <c r="AB581" s="39"/>
      <c r="AD581" s="40"/>
      <c r="AE581" s="41"/>
      <c r="AF581" s="42"/>
      <c r="AI581" s="49"/>
      <c r="AJ581" s="42"/>
      <c r="AK581" s="42"/>
    </row>
    <row r="582" spans="25:37" ht="12.75" x14ac:dyDescent="0.35">
      <c r="Y582" s="39"/>
      <c r="Z582" s="39"/>
      <c r="AA582" s="39"/>
      <c r="AB582" s="39"/>
      <c r="AD582" s="40"/>
      <c r="AE582" s="41"/>
      <c r="AF582" s="42"/>
      <c r="AI582" s="49"/>
      <c r="AJ582" s="42"/>
      <c r="AK582" s="42"/>
    </row>
    <row r="583" spans="25:37" ht="12.75" x14ac:dyDescent="0.35">
      <c r="Y583" s="39"/>
      <c r="Z583" s="39"/>
      <c r="AA583" s="39"/>
      <c r="AB583" s="39"/>
      <c r="AD583" s="40"/>
      <c r="AE583" s="41"/>
      <c r="AF583" s="42"/>
      <c r="AI583" s="49"/>
      <c r="AJ583" s="42"/>
      <c r="AK583" s="42"/>
    </row>
    <row r="584" spans="25:37" ht="12.75" x14ac:dyDescent="0.35">
      <c r="Y584" s="39"/>
      <c r="Z584" s="39"/>
      <c r="AA584" s="39"/>
      <c r="AB584" s="39"/>
      <c r="AD584" s="40"/>
      <c r="AE584" s="41"/>
      <c r="AF584" s="42"/>
      <c r="AI584" s="49"/>
      <c r="AJ584" s="42"/>
      <c r="AK584" s="42"/>
    </row>
    <row r="585" spans="25:37" ht="12.75" x14ac:dyDescent="0.35">
      <c r="Y585" s="39"/>
      <c r="Z585" s="39"/>
      <c r="AA585" s="39"/>
      <c r="AB585" s="39"/>
      <c r="AD585" s="40"/>
      <c r="AE585" s="41"/>
      <c r="AF585" s="42"/>
      <c r="AI585" s="49"/>
      <c r="AJ585" s="42"/>
      <c r="AK585" s="42"/>
    </row>
    <row r="586" spans="25:37" ht="12.75" x14ac:dyDescent="0.35">
      <c r="Y586" s="39"/>
      <c r="Z586" s="39"/>
      <c r="AA586" s="39"/>
      <c r="AB586" s="39"/>
      <c r="AD586" s="40"/>
      <c r="AE586" s="41"/>
      <c r="AF586" s="42"/>
      <c r="AI586" s="49"/>
      <c r="AJ586" s="42"/>
      <c r="AK586" s="42"/>
    </row>
    <row r="587" spans="25:37" ht="12.75" x14ac:dyDescent="0.35">
      <c r="Y587" s="39"/>
      <c r="Z587" s="39"/>
      <c r="AA587" s="39"/>
      <c r="AB587" s="39"/>
      <c r="AD587" s="40"/>
      <c r="AE587" s="41"/>
      <c r="AF587" s="42"/>
      <c r="AI587" s="49"/>
      <c r="AJ587" s="42"/>
      <c r="AK587" s="42"/>
    </row>
    <row r="588" spans="25:37" ht="12.75" x14ac:dyDescent="0.35">
      <c r="Y588" s="39"/>
      <c r="Z588" s="39"/>
      <c r="AA588" s="39"/>
      <c r="AB588" s="39"/>
      <c r="AD588" s="40"/>
      <c r="AE588" s="41"/>
      <c r="AF588" s="42"/>
      <c r="AI588" s="49"/>
      <c r="AJ588" s="42"/>
      <c r="AK588" s="42"/>
    </row>
    <row r="589" spans="25:37" ht="12.75" x14ac:dyDescent="0.35">
      <c r="Y589" s="39"/>
      <c r="Z589" s="39"/>
      <c r="AA589" s="39"/>
      <c r="AB589" s="39"/>
      <c r="AD589" s="40"/>
      <c r="AE589" s="41"/>
      <c r="AF589" s="42"/>
      <c r="AI589" s="49"/>
      <c r="AJ589" s="42"/>
      <c r="AK589" s="42"/>
    </row>
    <row r="590" spans="25:37" ht="12.75" x14ac:dyDescent="0.35">
      <c r="Y590" s="39"/>
      <c r="Z590" s="39"/>
      <c r="AA590" s="39"/>
      <c r="AB590" s="39"/>
      <c r="AD590" s="40"/>
      <c r="AE590" s="41"/>
      <c r="AF590" s="42"/>
      <c r="AI590" s="49"/>
      <c r="AJ590" s="42"/>
      <c r="AK590" s="42"/>
    </row>
    <row r="591" spans="25:37" ht="12.75" x14ac:dyDescent="0.35">
      <c r="Y591" s="39"/>
      <c r="Z591" s="39"/>
      <c r="AA591" s="39"/>
      <c r="AB591" s="39"/>
      <c r="AD591" s="40"/>
      <c r="AE591" s="41"/>
      <c r="AF591" s="42"/>
      <c r="AI591" s="49"/>
      <c r="AJ591" s="42"/>
      <c r="AK591" s="42"/>
    </row>
    <row r="592" spans="25:37" ht="12.75" x14ac:dyDescent="0.35">
      <c r="Y592" s="39"/>
      <c r="Z592" s="39"/>
      <c r="AA592" s="39"/>
      <c r="AB592" s="39"/>
      <c r="AD592" s="40"/>
      <c r="AE592" s="41"/>
      <c r="AF592" s="42"/>
      <c r="AI592" s="49"/>
      <c r="AJ592" s="42"/>
      <c r="AK592" s="42"/>
    </row>
    <row r="593" spans="25:37" ht="12.75" x14ac:dyDescent="0.35">
      <c r="Y593" s="39"/>
      <c r="Z593" s="39"/>
      <c r="AA593" s="39"/>
      <c r="AB593" s="39"/>
      <c r="AD593" s="40"/>
      <c r="AE593" s="41"/>
      <c r="AF593" s="42"/>
      <c r="AI593" s="49"/>
      <c r="AJ593" s="42"/>
      <c r="AK593" s="42"/>
    </row>
    <row r="594" spans="25:37" ht="12.75" x14ac:dyDescent="0.35">
      <c r="Y594" s="39"/>
      <c r="Z594" s="39"/>
      <c r="AA594" s="39"/>
      <c r="AB594" s="39"/>
      <c r="AD594" s="40"/>
      <c r="AE594" s="41"/>
      <c r="AF594" s="42"/>
      <c r="AI594" s="49"/>
      <c r="AJ594" s="42"/>
      <c r="AK594" s="42"/>
    </row>
    <row r="595" spans="25:37" ht="12.75" x14ac:dyDescent="0.35">
      <c r="Y595" s="39"/>
      <c r="Z595" s="39"/>
      <c r="AA595" s="39"/>
      <c r="AB595" s="39"/>
      <c r="AD595" s="40"/>
      <c r="AE595" s="41"/>
      <c r="AF595" s="42"/>
      <c r="AI595" s="49"/>
      <c r="AJ595" s="42"/>
      <c r="AK595" s="42"/>
    </row>
    <row r="596" spans="25:37" ht="12.75" x14ac:dyDescent="0.35">
      <c r="Y596" s="39"/>
      <c r="Z596" s="39"/>
      <c r="AA596" s="39"/>
      <c r="AB596" s="39"/>
      <c r="AD596" s="40"/>
      <c r="AE596" s="41"/>
      <c r="AF596" s="42"/>
      <c r="AI596" s="49"/>
      <c r="AJ596" s="42"/>
      <c r="AK596" s="42"/>
    </row>
    <row r="597" spans="25:37" ht="12.75" x14ac:dyDescent="0.35">
      <c r="Y597" s="39"/>
      <c r="Z597" s="39"/>
      <c r="AA597" s="39"/>
      <c r="AB597" s="39"/>
      <c r="AD597" s="40"/>
      <c r="AE597" s="41"/>
      <c r="AF597" s="42"/>
      <c r="AI597" s="49"/>
      <c r="AJ597" s="42"/>
      <c r="AK597" s="42"/>
    </row>
    <row r="598" spans="25:37" ht="12.75" x14ac:dyDescent="0.35">
      <c r="Y598" s="39"/>
      <c r="Z598" s="39"/>
      <c r="AA598" s="39"/>
      <c r="AB598" s="39"/>
      <c r="AD598" s="40"/>
      <c r="AE598" s="41"/>
      <c r="AF598" s="42"/>
      <c r="AI598" s="49"/>
      <c r="AJ598" s="42"/>
      <c r="AK598" s="42"/>
    </row>
    <row r="599" spans="25:37" ht="12.75" x14ac:dyDescent="0.35">
      <c r="Y599" s="39"/>
      <c r="Z599" s="39"/>
      <c r="AA599" s="39"/>
      <c r="AB599" s="39"/>
      <c r="AD599" s="40"/>
      <c r="AE599" s="41"/>
      <c r="AF599" s="42"/>
      <c r="AI599" s="49"/>
      <c r="AJ599" s="42"/>
      <c r="AK599" s="42"/>
    </row>
    <row r="600" spans="25:37" ht="12.75" x14ac:dyDescent="0.35">
      <c r="Y600" s="39"/>
      <c r="Z600" s="39"/>
      <c r="AA600" s="39"/>
      <c r="AB600" s="39"/>
      <c r="AD600" s="40"/>
      <c r="AE600" s="41"/>
      <c r="AF600" s="42"/>
      <c r="AI600" s="49"/>
      <c r="AJ600" s="42"/>
      <c r="AK600" s="42"/>
    </row>
    <row r="601" spans="25:37" ht="12.75" x14ac:dyDescent="0.35">
      <c r="Y601" s="39"/>
      <c r="Z601" s="39"/>
      <c r="AA601" s="39"/>
      <c r="AB601" s="39"/>
      <c r="AD601" s="40"/>
      <c r="AE601" s="41"/>
      <c r="AF601" s="42"/>
      <c r="AI601" s="49"/>
      <c r="AJ601" s="42"/>
      <c r="AK601" s="42"/>
    </row>
    <row r="602" spans="25:37" ht="12.75" x14ac:dyDescent="0.35">
      <c r="Y602" s="39"/>
      <c r="Z602" s="39"/>
      <c r="AA602" s="39"/>
      <c r="AB602" s="39"/>
      <c r="AD602" s="40"/>
      <c r="AE602" s="41"/>
      <c r="AF602" s="42"/>
      <c r="AI602" s="49"/>
      <c r="AJ602" s="42"/>
      <c r="AK602" s="42"/>
    </row>
    <row r="603" spans="25:37" ht="12.75" x14ac:dyDescent="0.35">
      <c r="Y603" s="39"/>
      <c r="Z603" s="39"/>
      <c r="AA603" s="39"/>
      <c r="AB603" s="39"/>
      <c r="AD603" s="40"/>
      <c r="AE603" s="41"/>
      <c r="AF603" s="42"/>
      <c r="AI603" s="49"/>
      <c r="AJ603" s="42"/>
      <c r="AK603" s="42"/>
    </row>
    <row r="604" spans="25:37" ht="12.75" x14ac:dyDescent="0.35">
      <c r="Y604" s="39"/>
      <c r="Z604" s="39"/>
      <c r="AA604" s="39"/>
      <c r="AB604" s="39"/>
      <c r="AD604" s="40"/>
      <c r="AE604" s="41"/>
      <c r="AF604" s="42"/>
      <c r="AI604" s="49"/>
      <c r="AJ604" s="42"/>
      <c r="AK604" s="42"/>
    </row>
    <row r="605" spans="25:37" ht="12.75" x14ac:dyDescent="0.35">
      <c r="Y605" s="39"/>
      <c r="Z605" s="39"/>
      <c r="AA605" s="39"/>
      <c r="AB605" s="39"/>
      <c r="AD605" s="40"/>
      <c r="AE605" s="41"/>
      <c r="AF605" s="42"/>
      <c r="AI605" s="49"/>
      <c r="AJ605" s="42"/>
      <c r="AK605" s="42"/>
    </row>
    <row r="606" spans="25:37" ht="12.75" x14ac:dyDescent="0.35">
      <c r="Y606" s="39"/>
      <c r="Z606" s="39"/>
      <c r="AA606" s="39"/>
      <c r="AB606" s="39"/>
      <c r="AD606" s="40"/>
      <c r="AE606" s="41"/>
      <c r="AF606" s="42"/>
      <c r="AI606" s="49"/>
      <c r="AJ606" s="42"/>
      <c r="AK606" s="42"/>
    </row>
    <row r="607" spans="25:37" ht="12.75" x14ac:dyDescent="0.35">
      <c r="Y607" s="39"/>
      <c r="Z607" s="39"/>
      <c r="AA607" s="39"/>
      <c r="AB607" s="39"/>
      <c r="AD607" s="40"/>
      <c r="AE607" s="41"/>
      <c r="AF607" s="42"/>
      <c r="AI607" s="49"/>
      <c r="AJ607" s="42"/>
      <c r="AK607" s="42"/>
    </row>
    <row r="608" spans="25:37" ht="12.75" x14ac:dyDescent="0.35">
      <c r="Y608" s="39"/>
      <c r="Z608" s="39"/>
      <c r="AA608" s="39"/>
      <c r="AB608" s="39"/>
      <c r="AD608" s="40"/>
      <c r="AE608" s="41"/>
      <c r="AF608" s="42"/>
      <c r="AI608" s="49"/>
      <c r="AJ608" s="42"/>
      <c r="AK608" s="42"/>
    </row>
    <row r="609" spans="25:37" ht="12.75" x14ac:dyDescent="0.35">
      <c r="Y609" s="39"/>
      <c r="Z609" s="39"/>
      <c r="AA609" s="39"/>
      <c r="AB609" s="39"/>
      <c r="AD609" s="40"/>
      <c r="AE609" s="41"/>
      <c r="AF609" s="42"/>
      <c r="AI609" s="49"/>
      <c r="AJ609" s="42"/>
      <c r="AK609" s="42"/>
    </row>
    <row r="610" spans="25:37" ht="12.75" x14ac:dyDescent="0.35">
      <c r="Y610" s="39"/>
      <c r="Z610" s="39"/>
      <c r="AA610" s="39"/>
      <c r="AB610" s="39"/>
      <c r="AD610" s="40"/>
      <c r="AE610" s="41"/>
      <c r="AF610" s="42"/>
      <c r="AI610" s="49"/>
      <c r="AJ610" s="42"/>
      <c r="AK610" s="42"/>
    </row>
    <row r="611" spans="25:37" ht="12.75" x14ac:dyDescent="0.35">
      <c r="Y611" s="39"/>
      <c r="Z611" s="39"/>
      <c r="AA611" s="39"/>
      <c r="AB611" s="39"/>
      <c r="AD611" s="40"/>
      <c r="AE611" s="41"/>
      <c r="AF611" s="42"/>
      <c r="AI611" s="49"/>
      <c r="AJ611" s="42"/>
      <c r="AK611" s="42"/>
    </row>
    <row r="612" spans="25:37" ht="12.75" x14ac:dyDescent="0.35">
      <c r="Y612" s="39"/>
      <c r="Z612" s="39"/>
      <c r="AA612" s="39"/>
      <c r="AB612" s="39"/>
      <c r="AD612" s="40"/>
      <c r="AE612" s="41"/>
      <c r="AF612" s="42"/>
      <c r="AI612" s="49"/>
      <c r="AJ612" s="42"/>
      <c r="AK612" s="42"/>
    </row>
    <row r="613" spans="25:37" ht="12.75" x14ac:dyDescent="0.35">
      <c r="Y613" s="39"/>
      <c r="Z613" s="39"/>
      <c r="AA613" s="39"/>
      <c r="AB613" s="39"/>
      <c r="AD613" s="40"/>
      <c r="AE613" s="41"/>
      <c r="AF613" s="42"/>
      <c r="AI613" s="49"/>
      <c r="AJ613" s="42"/>
      <c r="AK613" s="42"/>
    </row>
    <row r="614" spans="25:37" ht="12.75" x14ac:dyDescent="0.35">
      <c r="Y614" s="39"/>
      <c r="Z614" s="39"/>
      <c r="AA614" s="39"/>
      <c r="AB614" s="39"/>
      <c r="AD614" s="40"/>
      <c r="AE614" s="41"/>
      <c r="AF614" s="42"/>
      <c r="AI614" s="49"/>
      <c r="AJ614" s="42"/>
      <c r="AK614" s="42"/>
    </row>
    <row r="615" spans="25:37" ht="12.75" x14ac:dyDescent="0.35">
      <c r="Y615" s="39"/>
      <c r="Z615" s="39"/>
      <c r="AA615" s="39"/>
      <c r="AB615" s="39"/>
      <c r="AD615" s="40"/>
      <c r="AE615" s="41"/>
      <c r="AF615" s="42"/>
      <c r="AI615" s="49"/>
      <c r="AJ615" s="42"/>
      <c r="AK615" s="42"/>
    </row>
    <row r="616" spans="25:37" ht="12.75" x14ac:dyDescent="0.35">
      <c r="Y616" s="39"/>
      <c r="Z616" s="39"/>
      <c r="AA616" s="39"/>
      <c r="AB616" s="39"/>
      <c r="AD616" s="40"/>
      <c r="AE616" s="41"/>
      <c r="AF616" s="42"/>
      <c r="AI616" s="49"/>
      <c r="AJ616" s="42"/>
      <c r="AK616" s="42"/>
    </row>
    <row r="617" spans="25:37" ht="12.75" x14ac:dyDescent="0.35">
      <c r="Y617" s="39"/>
      <c r="Z617" s="39"/>
      <c r="AA617" s="39"/>
      <c r="AB617" s="39"/>
      <c r="AD617" s="40"/>
      <c r="AE617" s="41"/>
      <c r="AF617" s="42"/>
      <c r="AI617" s="49"/>
      <c r="AJ617" s="42"/>
      <c r="AK617" s="42"/>
    </row>
    <row r="618" spans="25:37" ht="12.75" x14ac:dyDescent="0.35">
      <c r="Y618" s="39"/>
      <c r="Z618" s="39"/>
      <c r="AA618" s="39"/>
      <c r="AB618" s="39"/>
      <c r="AD618" s="40"/>
      <c r="AE618" s="41"/>
      <c r="AF618" s="42"/>
      <c r="AI618" s="49"/>
      <c r="AJ618" s="42"/>
      <c r="AK618" s="42"/>
    </row>
    <row r="619" spans="25:37" ht="12.75" x14ac:dyDescent="0.35">
      <c r="Y619" s="39"/>
      <c r="Z619" s="39"/>
      <c r="AA619" s="39"/>
      <c r="AB619" s="39"/>
      <c r="AD619" s="40"/>
      <c r="AE619" s="41"/>
      <c r="AF619" s="42"/>
      <c r="AI619" s="49"/>
      <c r="AJ619" s="42"/>
      <c r="AK619" s="42"/>
    </row>
    <row r="620" spans="25:37" ht="12.75" x14ac:dyDescent="0.35">
      <c r="Y620" s="39"/>
      <c r="Z620" s="39"/>
      <c r="AA620" s="39"/>
      <c r="AB620" s="39"/>
      <c r="AD620" s="40"/>
      <c r="AE620" s="41"/>
      <c r="AF620" s="42"/>
      <c r="AI620" s="49"/>
      <c r="AJ620" s="42"/>
      <c r="AK620" s="42"/>
    </row>
    <row r="621" spans="25:37" ht="12.75" x14ac:dyDescent="0.35">
      <c r="Y621" s="39"/>
      <c r="Z621" s="39"/>
      <c r="AA621" s="39"/>
      <c r="AB621" s="39"/>
      <c r="AD621" s="40"/>
      <c r="AE621" s="41"/>
      <c r="AF621" s="42"/>
      <c r="AI621" s="49"/>
      <c r="AJ621" s="42"/>
      <c r="AK621" s="42"/>
    </row>
    <row r="622" spans="25:37" ht="12.75" x14ac:dyDescent="0.35">
      <c r="Y622" s="39"/>
      <c r="Z622" s="39"/>
      <c r="AA622" s="39"/>
      <c r="AB622" s="39"/>
      <c r="AD622" s="40"/>
      <c r="AE622" s="41"/>
      <c r="AF622" s="42"/>
      <c r="AI622" s="49"/>
      <c r="AJ622" s="42"/>
      <c r="AK622" s="42"/>
    </row>
    <row r="623" spans="25:37" ht="12.75" x14ac:dyDescent="0.35">
      <c r="Y623" s="39"/>
      <c r="Z623" s="39"/>
      <c r="AA623" s="39"/>
      <c r="AB623" s="39"/>
      <c r="AD623" s="40"/>
      <c r="AE623" s="41"/>
      <c r="AF623" s="42"/>
      <c r="AI623" s="49"/>
      <c r="AJ623" s="42"/>
      <c r="AK623" s="42"/>
    </row>
    <row r="624" spans="25:37" ht="12.75" x14ac:dyDescent="0.35">
      <c r="Y624" s="39"/>
      <c r="Z624" s="39"/>
      <c r="AA624" s="39"/>
      <c r="AB624" s="39"/>
      <c r="AD624" s="40"/>
      <c r="AE624" s="41"/>
      <c r="AF624" s="42"/>
      <c r="AI624" s="49"/>
      <c r="AJ624" s="42"/>
      <c r="AK624" s="42"/>
    </row>
    <row r="625" spans="25:37" ht="12.75" x14ac:dyDescent="0.35">
      <c r="Y625" s="39"/>
      <c r="Z625" s="39"/>
      <c r="AA625" s="39"/>
      <c r="AB625" s="39"/>
      <c r="AD625" s="40"/>
      <c r="AE625" s="41"/>
      <c r="AF625" s="42"/>
      <c r="AI625" s="49"/>
      <c r="AJ625" s="42"/>
      <c r="AK625" s="42"/>
    </row>
    <row r="626" spans="25:37" ht="12.75" x14ac:dyDescent="0.35">
      <c r="Y626" s="39"/>
      <c r="Z626" s="39"/>
      <c r="AA626" s="39"/>
      <c r="AB626" s="39"/>
      <c r="AD626" s="40"/>
      <c r="AE626" s="41"/>
      <c r="AF626" s="42"/>
      <c r="AI626" s="49"/>
      <c r="AJ626" s="42"/>
      <c r="AK626" s="42"/>
    </row>
    <row r="627" spans="25:37" ht="12.75" x14ac:dyDescent="0.35">
      <c r="Y627" s="39"/>
      <c r="Z627" s="39"/>
      <c r="AA627" s="39"/>
      <c r="AB627" s="39"/>
      <c r="AD627" s="40"/>
      <c r="AE627" s="41"/>
      <c r="AF627" s="42"/>
      <c r="AI627" s="49"/>
      <c r="AJ627" s="42"/>
      <c r="AK627" s="42"/>
    </row>
    <row r="628" spans="25:37" ht="12.75" x14ac:dyDescent="0.35">
      <c r="Y628" s="39"/>
      <c r="Z628" s="39"/>
      <c r="AA628" s="39"/>
      <c r="AB628" s="39"/>
      <c r="AD628" s="40"/>
      <c r="AE628" s="41"/>
      <c r="AF628" s="42"/>
      <c r="AI628" s="49"/>
      <c r="AJ628" s="42"/>
      <c r="AK628" s="42"/>
    </row>
    <row r="629" spans="25:37" ht="12.75" x14ac:dyDescent="0.35">
      <c r="Y629" s="39"/>
      <c r="Z629" s="39"/>
      <c r="AA629" s="39"/>
      <c r="AB629" s="39"/>
      <c r="AD629" s="40"/>
      <c r="AE629" s="41"/>
      <c r="AF629" s="42"/>
      <c r="AI629" s="49"/>
      <c r="AJ629" s="42"/>
      <c r="AK629" s="42"/>
    </row>
    <row r="630" spans="25:37" ht="12.75" x14ac:dyDescent="0.35">
      <c r="Y630" s="39"/>
      <c r="Z630" s="39"/>
      <c r="AA630" s="39"/>
      <c r="AB630" s="39"/>
      <c r="AD630" s="40"/>
      <c r="AE630" s="41"/>
      <c r="AF630" s="42"/>
      <c r="AI630" s="49"/>
      <c r="AJ630" s="42"/>
      <c r="AK630" s="42"/>
    </row>
    <row r="631" spans="25:37" ht="12.75" x14ac:dyDescent="0.35">
      <c r="Y631" s="39"/>
      <c r="Z631" s="39"/>
      <c r="AA631" s="39"/>
      <c r="AB631" s="39"/>
      <c r="AD631" s="40"/>
      <c r="AE631" s="41"/>
      <c r="AF631" s="42"/>
      <c r="AI631" s="49"/>
      <c r="AJ631" s="42"/>
      <c r="AK631" s="42"/>
    </row>
    <row r="632" spans="25:37" ht="12.75" x14ac:dyDescent="0.35">
      <c r="Y632" s="39"/>
      <c r="Z632" s="39"/>
      <c r="AA632" s="39"/>
      <c r="AB632" s="39"/>
      <c r="AD632" s="40"/>
      <c r="AE632" s="41"/>
      <c r="AF632" s="42"/>
      <c r="AI632" s="49"/>
      <c r="AJ632" s="42"/>
      <c r="AK632" s="42"/>
    </row>
    <row r="633" spans="25:37" ht="12.75" x14ac:dyDescent="0.35">
      <c r="Y633" s="39"/>
      <c r="Z633" s="39"/>
      <c r="AA633" s="39"/>
      <c r="AB633" s="39"/>
      <c r="AD633" s="40"/>
      <c r="AE633" s="41"/>
      <c r="AF633" s="42"/>
      <c r="AI633" s="49"/>
      <c r="AJ633" s="42"/>
      <c r="AK633" s="42"/>
    </row>
    <row r="634" spans="25:37" ht="12.75" x14ac:dyDescent="0.35">
      <c r="Y634" s="39"/>
      <c r="Z634" s="39"/>
      <c r="AA634" s="39"/>
      <c r="AB634" s="39"/>
      <c r="AD634" s="40"/>
      <c r="AE634" s="41"/>
      <c r="AF634" s="42"/>
      <c r="AI634" s="49"/>
      <c r="AJ634" s="42"/>
      <c r="AK634" s="42"/>
    </row>
    <row r="635" spans="25:37" ht="12.75" x14ac:dyDescent="0.35">
      <c r="Y635" s="39"/>
      <c r="Z635" s="39"/>
      <c r="AA635" s="39"/>
      <c r="AB635" s="39"/>
      <c r="AD635" s="40"/>
      <c r="AE635" s="41"/>
      <c r="AF635" s="42"/>
      <c r="AI635" s="49"/>
      <c r="AJ635" s="42"/>
      <c r="AK635" s="42"/>
    </row>
    <row r="636" spans="25:37" ht="12.75" x14ac:dyDescent="0.35">
      <c r="Y636" s="39"/>
      <c r="Z636" s="39"/>
      <c r="AA636" s="39"/>
      <c r="AB636" s="39"/>
      <c r="AD636" s="40"/>
      <c r="AE636" s="41"/>
      <c r="AF636" s="42"/>
      <c r="AI636" s="49"/>
      <c r="AJ636" s="42"/>
      <c r="AK636" s="42"/>
    </row>
    <row r="637" spans="25:37" ht="12.75" x14ac:dyDescent="0.35">
      <c r="Y637" s="39"/>
      <c r="Z637" s="39"/>
      <c r="AA637" s="39"/>
      <c r="AB637" s="39"/>
      <c r="AD637" s="40"/>
      <c r="AE637" s="41"/>
      <c r="AF637" s="42"/>
      <c r="AI637" s="49"/>
      <c r="AJ637" s="42"/>
      <c r="AK637" s="42"/>
    </row>
    <row r="638" spans="25:37" ht="12.75" x14ac:dyDescent="0.35">
      <c r="Y638" s="39"/>
      <c r="Z638" s="39"/>
      <c r="AA638" s="39"/>
      <c r="AB638" s="39"/>
      <c r="AD638" s="40"/>
      <c r="AE638" s="41"/>
      <c r="AF638" s="42"/>
      <c r="AI638" s="49"/>
      <c r="AJ638" s="42"/>
      <c r="AK638" s="42"/>
    </row>
    <row r="639" spans="25:37" ht="12.75" x14ac:dyDescent="0.35">
      <c r="Y639" s="39"/>
      <c r="Z639" s="39"/>
      <c r="AA639" s="39"/>
      <c r="AB639" s="39"/>
      <c r="AD639" s="40"/>
      <c r="AE639" s="41"/>
      <c r="AF639" s="42"/>
      <c r="AI639" s="49"/>
      <c r="AJ639" s="42"/>
      <c r="AK639" s="42"/>
    </row>
    <row r="640" spans="25:37" ht="12.75" x14ac:dyDescent="0.35">
      <c r="Y640" s="39"/>
      <c r="Z640" s="39"/>
      <c r="AA640" s="39"/>
      <c r="AB640" s="39"/>
      <c r="AD640" s="40"/>
      <c r="AE640" s="41"/>
      <c r="AF640" s="42"/>
      <c r="AI640" s="49"/>
      <c r="AJ640" s="42"/>
      <c r="AK640" s="42"/>
    </row>
    <row r="641" spans="25:37" ht="12.75" x14ac:dyDescent="0.35">
      <c r="Y641" s="39"/>
      <c r="Z641" s="39"/>
      <c r="AA641" s="39"/>
      <c r="AB641" s="39"/>
      <c r="AD641" s="40"/>
      <c r="AE641" s="41"/>
      <c r="AF641" s="42"/>
      <c r="AI641" s="49"/>
      <c r="AJ641" s="42"/>
      <c r="AK641" s="42"/>
    </row>
    <row r="642" spans="25:37" ht="12.75" x14ac:dyDescent="0.35">
      <c r="Y642" s="39"/>
      <c r="Z642" s="39"/>
      <c r="AA642" s="39"/>
      <c r="AB642" s="39"/>
      <c r="AD642" s="40"/>
      <c r="AE642" s="41"/>
      <c r="AF642" s="42"/>
      <c r="AI642" s="49"/>
      <c r="AJ642" s="42"/>
      <c r="AK642" s="42"/>
    </row>
    <row r="643" spans="25:37" ht="12.75" x14ac:dyDescent="0.35">
      <c r="Y643" s="39"/>
      <c r="Z643" s="39"/>
      <c r="AA643" s="39"/>
      <c r="AB643" s="39"/>
      <c r="AD643" s="40"/>
      <c r="AE643" s="41"/>
      <c r="AF643" s="42"/>
      <c r="AI643" s="49"/>
      <c r="AJ643" s="42"/>
      <c r="AK643" s="42"/>
    </row>
    <row r="644" spans="25:37" ht="12.75" x14ac:dyDescent="0.35">
      <c r="Y644" s="39"/>
      <c r="Z644" s="39"/>
      <c r="AA644" s="39"/>
      <c r="AB644" s="39"/>
      <c r="AD644" s="40"/>
      <c r="AE644" s="41"/>
      <c r="AF644" s="42"/>
      <c r="AI644" s="49"/>
      <c r="AJ644" s="42"/>
      <c r="AK644" s="42"/>
    </row>
    <row r="645" spans="25:37" ht="12.75" x14ac:dyDescent="0.35">
      <c r="Y645" s="39"/>
      <c r="Z645" s="39"/>
      <c r="AA645" s="39"/>
      <c r="AB645" s="39"/>
      <c r="AD645" s="40"/>
      <c r="AE645" s="41"/>
      <c r="AF645" s="42"/>
      <c r="AI645" s="49"/>
      <c r="AJ645" s="42"/>
      <c r="AK645" s="42"/>
    </row>
    <row r="646" spans="25:37" ht="12.75" x14ac:dyDescent="0.35">
      <c r="Y646" s="39"/>
      <c r="Z646" s="39"/>
      <c r="AA646" s="39"/>
      <c r="AB646" s="39"/>
      <c r="AD646" s="40"/>
      <c r="AE646" s="41"/>
      <c r="AF646" s="42"/>
      <c r="AI646" s="49"/>
      <c r="AJ646" s="42"/>
      <c r="AK646" s="42"/>
    </row>
    <row r="647" spans="25:37" ht="12.75" x14ac:dyDescent="0.35">
      <c r="Y647" s="39"/>
      <c r="Z647" s="39"/>
      <c r="AA647" s="39"/>
      <c r="AB647" s="39"/>
      <c r="AD647" s="40"/>
      <c r="AE647" s="41"/>
      <c r="AF647" s="42"/>
      <c r="AI647" s="49"/>
      <c r="AJ647" s="42"/>
      <c r="AK647" s="42"/>
    </row>
    <row r="648" spans="25:37" ht="12.75" x14ac:dyDescent="0.35">
      <c r="Y648" s="39"/>
      <c r="Z648" s="39"/>
      <c r="AA648" s="39"/>
      <c r="AB648" s="39"/>
      <c r="AD648" s="40"/>
      <c r="AE648" s="41"/>
      <c r="AF648" s="42"/>
      <c r="AI648" s="49"/>
      <c r="AJ648" s="42"/>
      <c r="AK648" s="42"/>
    </row>
    <row r="649" spans="25:37" ht="12.75" x14ac:dyDescent="0.35">
      <c r="Y649" s="39"/>
      <c r="Z649" s="39"/>
      <c r="AA649" s="39"/>
      <c r="AB649" s="39"/>
      <c r="AD649" s="40"/>
      <c r="AE649" s="41"/>
      <c r="AF649" s="42"/>
      <c r="AI649" s="49"/>
      <c r="AJ649" s="42"/>
      <c r="AK649" s="42"/>
    </row>
    <row r="650" spans="25:37" ht="12.75" x14ac:dyDescent="0.35">
      <c r="Y650" s="39"/>
      <c r="Z650" s="39"/>
      <c r="AA650" s="39"/>
      <c r="AB650" s="39"/>
      <c r="AD650" s="40"/>
      <c r="AE650" s="41"/>
      <c r="AF650" s="42"/>
      <c r="AI650" s="49"/>
      <c r="AJ650" s="42"/>
      <c r="AK650" s="42"/>
    </row>
    <row r="651" spans="25:37" ht="12.75" x14ac:dyDescent="0.35">
      <c r="Y651" s="39"/>
      <c r="Z651" s="39"/>
      <c r="AA651" s="39"/>
      <c r="AB651" s="39"/>
      <c r="AD651" s="40"/>
      <c r="AE651" s="41"/>
      <c r="AF651" s="42"/>
      <c r="AI651" s="49"/>
      <c r="AJ651" s="42"/>
      <c r="AK651" s="42"/>
    </row>
    <row r="652" spans="25:37" ht="12.75" x14ac:dyDescent="0.35">
      <c r="Y652" s="39"/>
      <c r="Z652" s="39"/>
      <c r="AA652" s="39"/>
      <c r="AB652" s="39"/>
      <c r="AD652" s="40"/>
      <c r="AE652" s="41"/>
      <c r="AF652" s="42"/>
      <c r="AI652" s="49"/>
      <c r="AJ652" s="42"/>
      <c r="AK652" s="42"/>
    </row>
    <row r="653" spans="25:37" ht="12.75" x14ac:dyDescent="0.35">
      <c r="Y653" s="39"/>
      <c r="Z653" s="39"/>
      <c r="AA653" s="39"/>
      <c r="AB653" s="39"/>
      <c r="AD653" s="40"/>
      <c r="AE653" s="41"/>
      <c r="AF653" s="42"/>
      <c r="AI653" s="49"/>
      <c r="AJ653" s="42"/>
      <c r="AK653" s="42"/>
    </row>
    <row r="654" spans="25:37" ht="12.75" x14ac:dyDescent="0.35">
      <c r="Y654" s="39"/>
      <c r="Z654" s="39"/>
      <c r="AA654" s="39"/>
      <c r="AB654" s="39"/>
      <c r="AD654" s="40"/>
      <c r="AE654" s="41"/>
      <c r="AF654" s="42"/>
      <c r="AI654" s="49"/>
      <c r="AJ654" s="42"/>
      <c r="AK654" s="42"/>
    </row>
    <row r="655" spans="25:37" ht="12.75" x14ac:dyDescent="0.35">
      <c r="Y655" s="39"/>
      <c r="Z655" s="39"/>
      <c r="AA655" s="39"/>
      <c r="AB655" s="39"/>
      <c r="AD655" s="40"/>
      <c r="AE655" s="41"/>
      <c r="AF655" s="42"/>
      <c r="AI655" s="49"/>
      <c r="AJ655" s="42"/>
      <c r="AK655" s="42"/>
    </row>
    <row r="656" spans="25:37" ht="12.75" x14ac:dyDescent="0.35">
      <c r="Y656" s="39"/>
      <c r="Z656" s="39"/>
      <c r="AA656" s="39"/>
      <c r="AB656" s="39"/>
      <c r="AD656" s="40"/>
      <c r="AE656" s="41"/>
      <c r="AF656" s="42"/>
      <c r="AI656" s="49"/>
      <c r="AJ656" s="42"/>
      <c r="AK656" s="42"/>
    </row>
    <row r="657" spans="25:37" ht="12.75" x14ac:dyDescent="0.35">
      <c r="Y657" s="39"/>
      <c r="Z657" s="39"/>
      <c r="AA657" s="39"/>
      <c r="AB657" s="39"/>
      <c r="AD657" s="40"/>
      <c r="AE657" s="41"/>
      <c r="AF657" s="42"/>
      <c r="AI657" s="49"/>
      <c r="AJ657" s="42"/>
      <c r="AK657" s="42"/>
    </row>
    <row r="658" spans="25:37" ht="12.75" x14ac:dyDescent="0.35">
      <c r="Y658" s="39"/>
      <c r="Z658" s="39"/>
      <c r="AA658" s="39"/>
      <c r="AB658" s="39"/>
      <c r="AD658" s="40"/>
      <c r="AE658" s="41"/>
      <c r="AF658" s="42"/>
      <c r="AI658" s="49"/>
      <c r="AJ658" s="42"/>
      <c r="AK658" s="42"/>
    </row>
    <row r="659" spans="25:37" ht="12.75" x14ac:dyDescent="0.35">
      <c r="Y659" s="39"/>
      <c r="Z659" s="39"/>
      <c r="AA659" s="39"/>
      <c r="AB659" s="39"/>
      <c r="AD659" s="40"/>
      <c r="AE659" s="41"/>
      <c r="AF659" s="42"/>
      <c r="AI659" s="49"/>
      <c r="AJ659" s="42"/>
      <c r="AK659" s="42"/>
    </row>
    <row r="660" spans="25:37" ht="12.75" x14ac:dyDescent="0.35">
      <c r="Y660" s="39"/>
      <c r="Z660" s="39"/>
      <c r="AA660" s="39"/>
      <c r="AB660" s="39"/>
      <c r="AD660" s="40"/>
      <c r="AE660" s="41"/>
      <c r="AF660" s="42"/>
      <c r="AI660" s="49"/>
      <c r="AJ660" s="42"/>
      <c r="AK660" s="42"/>
    </row>
    <row r="661" spans="25:37" ht="12.75" x14ac:dyDescent="0.35">
      <c r="Y661" s="39"/>
      <c r="Z661" s="39"/>
      <c r="AA661" s="39"/>
      <c r="AB661" s="39"/>
      <c r="AD661" s="40"/>
      <c r="AE661" s="41"/>
      <c r="AF661" s="42"/>
      <c r="AI661" s="49"/>
      <c r="AJ661" s="42"/>
      <c r="AK661" s="42"/>
    </row>
    <row r="662" spans="25:37" ht="12.75" x14ac:dyDescent="0.35">
      <c r="Y662" s="39"/>
      <c r="Z662" s="39"/>
      <c r="AA662" s="39"/>
      <c r="AB662" s="39"/>
      <c r="AD662" s="40"/>
      <c r="AE662" s="41"/>
      <c r="AF662" s="42"/>
      <c r="AI662" s="49"/>
      <c r="AJ662" s="42"/>
      <c r="AK662" s="42"/>
    </row>
    <row r="663" spans="25:37" ht="12.75" x14ac:dyDescent="0.35">
      <c r="Y663" s="39"/>
      <c r="Z663" s="39"/>
      <c r="AA663" s="39"/>
      <c r="AB663" s="39"/>
      <c r="AD663" s="40"/>
      <c r="AE663" s="41"/>
      <c r="AF663" s="42"/>
      <c r="AI663" s="49"/>
      <c r="AJ663" s="42"/>
      <c r="AK663" s="42"/>
    </row>
    <row r="664" spans="25:37" ht="12.75" x14ac:dyDescent="0.35">
      <c r="Y664" s="39"/>
      <c r="Z664" s="39"/>
      <c r="AA664" s="39"/>
      <c r="AB664" s="39"/>
      <c r="AD664" s="40"/>
      <c r="AE664" s="41"/>
      <c r="AF664" s="42"/>
      <c r="AI664" s="49"/>
      <c r="AJ664" s="42"/>
      <c r="AK664" s="42"/>
    </row>
    <row r="665" spans="25:37" ht="12.75" x14ac:dyDescent="0.35">
      <c r="Y665" s="39"/>
      <c r="Z665" s="39"/>
      <c r="AA665" s="39"/>
      <c r="AB665" s="39"/>
      <c r="AD665" s="40"/>
      <c r="AE665" s="41"/>
      <c r="AF665" s="42"/>
      <c r="AI665" s="49"/>
      <c r="AJ665" s="42"/>
      <c r="AK665" s="42"/>
    </row>
    <row r="666" spans="25:37" ht="12.75" x14ac:dyDescent="0.35">
      <c r="Y666" s="39"/>
      <c r="Z666" s="39"/>
      <c r="AA666" s="39"/>
      <c r="AB666" s="39"/>
      <c r="AD666" s="40"/>
      <c r="AE666" s="41"/>
      <c r="AF666" s="42"/>
      <c r="AI666" s="49"/>
      <c r="AJ666" s="42"/>
      <c r="AK666" s="42"/>
    </row>
    <row r="667" spans="25:37" ht="12.75" x14ac:dyDescent="0.35">
      <c r="Y667" s="39"/>
      <c r="Z667" s="39"/>
      <c r="AA667" s="39"/>
      <c r="AB667" s="39"/>
      <c r="AD667" s="40"/>
      <c r="AE667" s="41"/>
      <c r="AF667" s="42"/>
      <c r="AI667" s="49"/>
      <c r="AJ667" s="42"/>
      <c r="AK667" s="42"/>
    </row>
    <row r="668" spans="25:37" ht="12.75" x14ac:dyDescent="0.35">
      <c r="Y668" s="39"/>
      <c r="Z668" s="39"/>
      <c r="AA668" s="39"/>
      <c r="AB668" s="39"/>
      <c r="AD668" s="40"/>
      <c r="AE668" s="41"/>
      <c r="AF668" s="42"/>
      <c r="AI668" s="49"/>
      <c r="AJ668" s="42"/>
      <c r="AK668" s="42"/>
    </row>
    <row r="669" spans="25:37" ht="12.75" x14ac:dyDescent="0.35">
      <c r="Y669" s="39"/>
      <c r="Z669" s="39"/>
      <c r="AA669" s="39"/>
      <c r="AB669" s="39"/>
      <c r="AD669" s="40"/>
      <c r="AE669" s="41"/>
      <c r="AF669" s="42"/>
      <c r="AI669" s="49"/>
      <c r="AJ669" s="42"/>
      <c r="AK669" s="42"/>
    </row>
    <row r="670" spans="25:37" ht="12.75" x14ac:dyDescent="0.35">
      <c r="Y670" s="39"/>
      <c r="Z670" s="39"/>
      <c r="AA670" s="39"/>
      <c r="AB670" s="39"/>
      <c r="AD670" s="40"/>
      <c r="AE670" s="41"/>
      <c r="AF670" s="42"/>
      <c r="AI670" s="49"/>
      <c r="AJ670" s="42"/>
      <c r="AK670" s="42"/>
    </row>
    <row r="671" spans="25:37" ht="12.75" x14ac:dyDescent="0.35">
      <c r="Y671" s="39"/>
      <c r="Z671" s="39"/>
      <c r="AA671" s="39"/>
      <c r="AB671" s="39"/>
      <c r="AD671" s="40"/>
      <c r="AE671" s="41"/>
      <c r="AF671" s="42"/>
      <c r="AI671" s="49"/>
      <c r="AJ671" s="42"/>
      <c r="AK671" s="42"/>
    </row>
    <row r="672" spans="25:37" ht="12.75" x14ac:dyDescent="0.35">
      <c r="Y672" s="39"/>
      <c r="Z672" s="39"/>
      <c r="AA672" s="39"/>
      <c r="AB672" s="39"/>
      <c r="AD672" s="40"/>
      <c r="AE672" s="41"/>
      <c r="AF672" s="42"/>
      <c r="AI672" s="49"/>
      <c r="AJ672" s="42"/>
      <c r="AK672" s="42"/>
    </row>
    <row r="673" spans="25:37" ht="12.75" x14ac:dyDescent="0.35">
      <c r="Y673" s="39"/>
      <c r="Z673" s="39"/>
      <c r="AA673" s="39"/>
      <c r="AB673" s="39"/>
      <c r="AD673" s="40"/>
      <c r="AE673" s="41"/>
      <c r="AF673" s="42"/>
      <c r="AI673" s="49"/>
      <c r="AJ673" s="42"/>
      <c r="AK673" s="42"/>
    </row>
    <row r="674" spans="25:37" ht="12.75" x14ac:dyDescent="0.35">
      <c r="Y674" s="39"/>
      <c r="Z674" s="39"/>
      <c r="AA674" s="39"/>
      <c r="AB674" s="39"/>
      <c r="AD674" s="40"/>
      <c r="AE674" s="41"/>
      <c r="AF674" s="42"/>
      <c r="AI674" s="49"/>
      <c r="AJ674" s="42"/>
      <c r="AK674" s="42"/>
    </row>
    <row r="675" spans="25:37" ht="12.75" x14ac:dyDescent="0.35">
      <c r="Y675" s="39"/>
      <c r="Z675" s="39"/>
      <c r="AA675" s="39"/>
      <c r="AB675" s="39"/>
      <c r="AD675" s="40"/>
      <c r="AE675" s="41"/>
      <c r="AF675" s="42"/>
      <c r="AI675" s="49"/>
      <c r="AJ675" s="42"/>
      <c r="AK675" s="42"/>
    </row>
    <row r="676" spans="25:37" ht="12.75" x14ac:dyDescent="0.35">
      <c r="Y676" s="39"/>
      <c r="Z676" s="39"/>
      <c r="AA676" s="39"/>
      <c r="AB676" s="39"/>
      <c r="AD676" s="40"/>
      <c r="AE676" s="41"/>
      <c r="AF676" s="42"/>
      <c r="AI676" s="49"/>
      <c r="AJ676" s="42"/>
      <c r="AK676" s="42"/>
    </row>
    <row r="677" spans="25:37" ht="12.75" x14ac:dyDescent="0.35">
      <c r="Y677" s="39"/>
      <c r="Z677" s="39"/>
      <c r="AA677" s="39"/>
      <c r="AB677" s="39"/>
      <c r="AD677" s="40"/>
      <c r="AE677" s="41"/>
      <c r="AF677" s="42"/>
      <c r="AI677" s="49"/>
      <c r="AJ677" s="42"/>
      <c r="AK677" s="42"/>
    </row>
    <row r="678" spans="25:37" ht="12.75" x14ac:dyDescent="0.35">
      <c r="Y678" s="39"/>
      <c r="Z678" s="39"/>
      <c r="AA678" s="39"/>
      <c r="AB678" s="39"/>
      <c r="AD678" s="40"/>
      <c r="AE678" s="41"/>
      <c r="AF678" s="42"/>
      <c r="AI678" s="49"/>
      <c r="AJ678" s="42"/>
      <c r="AK678" s="42"/>
    </row>
    <row r="679" spans="25:37" ht="12.75" x14ac:dyDescent="0.35">
      <c r="Y679" s="39"/>
      <c r="Z679" s="39"/>
      <c r="AA679" s="39"/>
      <c r="AB679" s="39"/>
      <c r="AD679" s="40"/>
      <c r="AE679" s="41"/>
      <c r="AF679" s="42"/>
      <c r="AI679" s="49"/>
      <c r="AJ679" s="42"/>
      <c r="AK679" s="42"/>
    </row>
    <row r="680" spans="25:37" ht="12.75" x14ac:dyDescent="0.35">
      <c r="Y680" s="39"/>
      <c r="Z680" s="39"/>
      <c r="AA680" s="39"/>
      <c r="AB680" s="39"/>
      <c r="AD680" s="40"/>
      <c r="AE680" s="41"/>
      <c r="AF680" s="42"/>
      <c r="AI680" s="49"/>
      <c r="AJ680" s="42"/>
      <c r="AK680" s="42"/>
    </row>
    <row r="681" spans="25:37" ht="12.75" x14ac:dyDescent="0.35">
      <c r="Y681" s="39"/>
      <c r="Z681" s="39"/>
      <c r="AA681" s="39"/>
      <c r="AB681" s="39"/>
      <c r="AD681" s="40"/>
      <c r="AE681" s="41"/>
      <c r="AF681" s="42"/>
      <c r="AI681" s="49"/>
      <c r="AJ681" s="42"/>
      <c r="AK681" s="42"/>
    </row>
    <row r="682" spans="25:37" ht="12.75" x14ac:dyDescent="0.35">
      <c r="Y682" s="39"/>
      <c r="Z682" s="39"/>
      <c r="AA682" s="39"/>
      <c r="AB682" s="39"/>
      <c r="AD682" s="40"/>
      <c r="AE682" s="41"/>
      <c r="AF682" s="42"/>
      <c r="AI682" s="49"/>
      <c r="AJ682" s="42"/>
      <c r="AK682" s="42"/>
    </row>
    <row r="683" spans="25:37" ht="12.75" x14ac:dyDescent="0.35">
      <c r="Y683" s="39"/>
      <c r="Z683" s="39"/>
      <c r="AA683" s="39"/>
      <c r="AB683" s="39"/>
      <c r="AD683" s="40"/>
      <c r="AE683" s="41"/>
      <c r="AF683" s="42"/>
      <c r="AI683" s="49"/>
      <c r="AJ683" s="42"/>
      <c r="AK683" s="42"/>
    </row>
    <row r="684" spans="25:37" ht="12.75" x14ac:dyDescent="0.35">
      <c r="Y684" s="39"/>
      <c r="Z684" s="39"/>
      <c r="AA684" s="39"/>
      <c r="AB684" s="39"/>
      <c r="AD684" s="40"/>
      <c r="AE684" s="41"/>
      <c r="AF684" s="42"/>
      <c r="AI684" s="49"/>
      <c r="AJ684" s="42"/>
      <c r="AK684" s="42"/>
    </row>
    <row r="685" spans="25:37" ht="12.75" x14ac:dyDescent="0.35">
      <c r="Y685" s="39"/>
      <c r="Z685" s="39"/>
      <c r="AA685" s="39"/>
      <c r="AB685" s="39"/>
      <c r="AD685" s="40"/>
      <c r="AE685" s="41"/>
      <c r="AF685" s="42"/>
      <c r="AI685" s="49"/>
      <c r="AJ685" s="42"/>
      <c r="AK685" s="42"/>
    </row>
    <row r="686" spans="25:37" ht="12.75" x14ac:dyDescent="0.35">
      <c r="Y686" s="39"/>
      <c r="Z686" s="39"/>
      <c r="AA686" s="39"/>
      <c r="AB686" s="39"/>
      <c r="AD686" s="40"/>
      <c r="AE686" s="41"/>
      <c r="AF686" s="42"/>
      <c r="AI686" s="49"/>
      <c r="AJ686" s="42"/>
      <c r="AK686" s="42"/>
    </row>
    <row r="687" spans="25:37" ht="12.75" x14ac:dyDescent="0.35">
      <c r="Y687" s="39"/>
      <c r="Z687" s="39"/>
      <c r="AA687" s="39"/>
      <c r="AB687" s="39"/>
      <c r="AD687" s="40"/>
      <c r="AE687" s="41"/>
      <c r="AF687" s="42"/>
      <c r="AI687" s="49"/>
      <c r="AJ687" s="42"/>
      <c r="AK687" s="42"/>
    </row>
    <row r="688" spans="25:37" ht="12.75" x14ac:dyDescent="0.35">
      <c r="Y688" s="39"/>
      <c r="Z688" s="39"/>
      <c r="AA688" s="39"/>
      <c r="AB688" s="39"/>
      <c r="AD688" s="40"/>
      <c r="AE688" s="41"/>
      <c r="AF688" s="42"/>
      <c r="AI688" s="49"/>
      <c r="AJ688" s="42"/>
      <c r="AK688" s="42"/>
    </row>
    <row r="689" spans="25:37" ht="12.75" x14ac:dyDescent="0.35">
      <c r="Y689" s="39"/>
      <c r="Z689" s="39"/>
      <c r="AA689" s="39"/>
      <c r="AB689" s="39"/>
      <c r="AD689" s="40"/>
      <c r="AE689" s="41"/>
      <c r="AF689" s="42"/>
      <c r="AI689" s="49"/>
      <c r="AJ689" s="42"/>
      <c r="AK689" s="42"/>
    </row>
    <row r="690" spans="25:37" ht="12.75" x14ac:dyDescent="0.35">
      <c r="Y690" s="39"/>
      <c r="Z690" s="39"/>
      <c r="AA690" s="39"/>
      <c r="AB690" s="39"/>
      <c r="AD690" s="40"/>
      <c r="AE690" s="41"/>
      <c r="AF690" s="42"/>
      <c r="AI690" s="49"/>
      <c r="AJ690" s="42"/>
      <c r="AK690" s="42"/>
    </row>
    <row r="691" spans="25:37" ht="12.75" x14ac:dyDescent="0.35">
      <c r="Y691" s="39"/>
      <c r="Z691" s="39"/>
      <c r="AA691" s="39"/>
      <c r="AB691" s="39"/>
      <c r="AD691" s="40"/>
      <c r="AE691" s="41"/>
      <c r="AF691" s="42"/>
      <c r="AI691" s="49"/>
      <c r="AJ691" s="42"/>
      <c r="AK691" s="42"/>
    </row>
    <row r="692" spans="25:37" ht="12.75" x14ac:dyDescent="0.35">
      <c r="Y692" s="39"/>
      <c r="Z692" s="39"/>
      <c r="AA692" s="39"/>
      <c r="AB692" s="39"/>
      <c r="AD692" s="40"/>
      <c r="AE692" s="41"/>
      <c r="AF692" s="42"/>
      <c r="AI692" s="49"/>
      <c r="AJ692" s="42"/>
      <c r="AK692" s="42"/>
    </row>
    <row r="693" spans="25:37" ht="12.75" x14ac:dyDescent="0.35">
      <c r="Y693" s="39"/>
      <c r="Z693" s="39"/>
      <c r="AA693" s="39"/>
      <c r="AB693" s="39"/>
      <c r="AD693" s="40"/>
      <c r="AE693" s="41"/>
      <c r="AF693" s="42"/>
      <c r="AI693" s="49"/>
      <c r="AJ693" s="42"/>
      <c r="AK693" s="42"/>
    </row>
    <row r="694" spans="25:37" ht="12.75" x14ac:dyDescent="0.35">
      <c r="Y694" s="39"/>
      <c r="Z694" s="39"/>
      <c r="AA694" s="39"/>
      <c r="AB694" s="39"/>
      <c r="AD694" s="40"/>
      <c r="AE694" s="41"/>
      <c r="AF694" s="42"/>
      <c r="AI694" s="49"/>
      <c r="AJ694" s="42"/>
      <c r="AK694" s="42"/>
    </row>
    <row r="695" spans="25:37" ht="12.75" x14ac:dyDescent="0.35">
      <c r="Y695" s="39"/>
      <c r="Z695" s="39"/>
      <c r="AA695" s="39"/>
      <c r="AB695" s="39"/>
      <c r="AD695" s="40"/>
      <c r="AE695" s="41"/>
      <c r="AF695" s="42"/>
      <c r="AI695" s="49"/>
      <c r="AJ695" s="42"/>
      <c r="AK695" s="42"/>
    </row>
    <row r="696" spans="25:37" ht="12.75" x14ac:dyDescent="0.35">
      <c r="Y696" s="39"/>
      <c r="Z696" s="39"/>
      <c r="AA696" s="39"/>
      <c r="AB696" s="39"/>
      <c r="AD696" s="40"/>
      <c r="AE696" s="41"/>
      <c r="AF696" s="42"/>
      <c r="AI696" s="49"/>
      <c r="AJ696" s="42"/>
      <c r="AK696" s="42"/>
    </row>
    <row r="697" spans="25:37" ht="12.75" x14ac:dyDescent="0.35">
      <c r="Y697" s="39"/>
      <c r="Z697" s="39"/>
      <c r="AA697" s="39"/>
      <c r="AB697" s="39"/>
      <c r="AD697" s="40"/>
      <c r="AE697" s="41"/>
      <c r="AF697" s="42"/>
      <c r="AI697" s="49"/>
      <c r="AJ697" s="42"/>
      <c r="AK697" s="42"/>
    </row>
    <row r="698" spans="25:37" ht="12.75" x14ac:dyDescent="0.35">
      <c r="Y698" s="39"/>
      <c r="Z698" s="39"/>
      <c r="AA698" s="39"/>
      <c r="AB698" s="39"/>
      <c r="AD698" s="40"/>
      <c r="AE698" s="41"/>
      <c r="AF698" s="42"/>
      <c r="AI698" s="49"/>
      <c r="AJ698" s="42"/>
      <c r="AK698" s="42"/>
    </row>
    <row r="699" spans="25:37" ht="12.75" x14ac:dyDescent="0.35">
      <c r="Y699" s="39"/>
      <c r="Z699" s="39"/>
      <c r="AA699" s="39"/>
      <c r="AB699" s="39"/>
      <c r="AD699" s="40"/>
      <c r="AE699" s="41"/>
      <c r="AF699" s="42"/>
      <c r="AI699" s="49"/>
      <c r="AJ699" s="42"/>
      <c r="AK699" s="42"/>
    </row>
    <row r="700" spans="25:37" ht="12.75" x14ac:dyDescent="0.35">
      <c r="Y700" s="39"/>
      <c r="Z700" s="39"/>
      <c r="AA700" s="39"/>
      <c r="AB700" s="39"/>
      <c r="AD700" s="40"/>
      <c r="AE700" s="41"/>
      <c r="AF700" s="42"/>
      <c r="AI700" s="49"/>
      <c r="AJ700" s="42"/>
      <c r="AK700" s="42"/>
    </row>
    <row r="701" spans="25:37" ht="12.75" x14ac:dyDescent="0.35">
      <c r="Y701" s="39"/>
      <c r="Z701" s="39"/>
      <c r="AA701" s="39"/>
      <c r="AB701" s="39"/>
      <c r="AD701" s="40"/>
      <c r="AE701" s="41"/>
      <c r="AF701" s="42"/>
      <c r="AI701" s="49"/>
      <c r="AJ701" s="42"/>
      <c r="AK701" s="42"/>
    </row>
    <row r="702" spans="25:37" ht="12.75" x14ac:dyDescent="0.35">
      <c r="Y702" s="39"/>
      <c r="Z702" s="39"/>
      <c r="AA702" s="39"/>
      <c r="AB702" s="39"/>
      <c r="AD702" s="40"/>
      <c r="AE702" s="41"/>
      <c r="AF702" s="42"/>
      <c r="AI702" s="49"/>
      <c r="AJ702" s="42"/>
      <c r="AK702" s="42"/>
    </row>
    <row r="703" spans="25:37" ht="12.75" x14ac:dyDescent="0.35">
      <c r="Y703" s="39"/>
      <c r="Z703" s="39"/>
      <c r="AA703" s="39"/>
      <c r="AB703" s="39"/>
      <c r="AD703" s="40"/>
      <c r="AE703" s="41"/>
      <c r="AF703" s="42"/>
      <c r="AI703" s="49"/>
      <c r="AJ703" s="42"/>
      <c r="AK703" s="42"/>
    </row>
    <row r="704" spans="25:37" ht="12.75" x14ac:dyDescent="0.35">
      <c r="Y704" s="39"/>
      <c r="Z704" s="39"/>
      <c r="AA704" s="39"/>
      <c r="AB704" s="39"/>
      <c r="AD704" s="40"/>
      <c r="AE704" s="41"/>
      <c r="AF704" s="42"/>
      <c r="AI704" s="49"/>
      <c r="AJ704" s="42"/>
      <c r="AK704" s="42"/>
    </row>
    <row r="705" spans="25:37" ht="12.75" x14ac:dyDescent="0.35">
      <c r="Y705" s="39"/>
      <c r="Z705" s="39"/>
      <c r="AA705" s="39"/>
      <c r="AB705" s="39"/>
      <c r="AD705" s="40"/>
      <c r="AE705" s="41"/>
      <c r="AF705" s="42"/>
      <c r="AI705" s="49"/>
      <c r="AJ705" s="42"/>
      <c r="AK705" s="42"/>
    </row>
    <row r="706" spans="25:37" ht="12.75" x14ac:dyDescent="0.35">
      <c r="Y706" s="39"/>
      <c r="Z706" s="39"/>
      <c r="AA706" s="39"/>
      <c r="AB706" s="39"/>
      <c r="AD706" s="40"/>
      <c r="AE706" s="41"/>
      <c r="AF706" s="42"/>
      <c r="AI706" s="49"/>
      <c r="AJ706" s="42"/>
      <c r="AK706" s="42"/>
    </row>
    <row r="707" spans="25:37" ht="12.75" x14ac:dyDescent="0.35">
      <c r="Y707" s="39"/>
      <c r="Z707" s="39"/>
      <c r="AA707" s="39"/>
      <c r="AB707" s="39"/>
      <c r="AD707" s="40"/>
      <c r="AE707" s="41"/>
      <c r="AF707" s="42"/>
      <c r="AI707" s="49"/>
      <c r="AJ707" s="42"/>
      <c r="AK707" s="42"/>
    </row>
    <row r="708" spans="25:37" ht="12.75" x14ac:dyDescent="0.35">
      <c r="Y708" s="39"/>
      <c r="Z708" s="39"/>
      <c r="AA708" s="39"/>
      <c r="AB708" s="39"/>
      <c r="AD708" s="40"/>
      <c r="AE708" s="41"/>
      <c r="AF708" s="42"/>
      <c r="AI708" s="49"/>
      <c r="AJ708" s="42"/>
      <c r="AK708" s="42"/>
    </row>
    <row r="709" spans="25:37" ht="12.75" x14ac:dyDescent="0.35">
      <c r="Y709" s="39"/>
      <c r="Z709" s="39"/>
      <c r="AA709" s="39"/>
      <c r="AB709" s="39"/>
      <c r="AD709" s="40"/>
      <c r="AE709" s="41"/>
      <c r="AF709" s="42"/>
      <c r="AI709" s="49"/>
      <c r="AJ709" s="42"/>
      <c r="AK709" s="42"/>
    </row>
    <row r="710" spans="25:37" ht="12.75" x14ac:dyDescent="0.35">
      <c r="Y710" s="39"/>
      <c r="Z710" s="39"/>
      <c r="AA710" s="39"/>
      <c r="AB710" s="39"/>
      <c r="AD710" s="40"/>
      <c r="AE710" s="41"/>
      <c r="AF710" s="42"/>
      <c r="AI710" s="49"/>
      <c r="AJ710" s="42"/>
      <c r="AK710" s="42"/>
    </row>
    <row r="711" spans="25:37" ht="12.75" x14ac:dyDescent="0.35">
      <c r="Y711" s="39"/>
      <c r="Z711" s="39"/>
      <c r="AA711" s="39"/>
      <c r="AB711" s="39"/>
      <c r="AD711" s="40"/>
      <c r="AE711" s="41"/>
      <c r="AF711" s="42"/>
      <c r="AI711" s="49"/>
      <c r="AJ711" s="42"/>
      <c r="AK711" s="42"/>
    </row>
    <row r="712" spans="25:37" ht="12.75" x14ac:dyDescent="0.35">
      <c r="Y712" s="39"/>
      <c r="Z712" s="39"/>
      <c r="AA712" s="39"/>
      <c r="AB712" s="39"/>
      <c r="AD712" s="40"/>
      <c r="AE712" s="41"/>
      <c r="AF712" s="42"/>
      <c r="AI712" s="49"/>
      <c r="AJ712" s="42"/>
      <c r="AK712" s="42"/>
    </row>
    <row r="713" spans="25:37" ht="12.75" x14ac:dyDescent="0.35">
      <c r="Y713" s="39"/>
      <c r="Z713" s="39"/>
      <c r="AA713" s="39"/>
      <c r="AB713" s="39"/>
      <c r="AD713" s="40"/>
      <c r="AE713" s="41"/>
      <c r="AF713" s="42"/>
      <c r="AI713" s="49"/>
      <c r="AJ713" s="42"/>
      <c r="AK713" s="42"/>
    </row>
    <row r="714" spans="25:37" ht="12.75" x14ac:dyDescent="0.35">
      <c r="Y714" s="39"/>
      <c r="Z714" s="39"/>
      <c r="AA714" s="39"/>
      <c r="AB714" s="39"/>
      <c r="AD714" s="40"/>
      <c r="AE714" s="41"/>
      <c r="AF714" s="42"/>
      <c r="AI714" s="49"/>
      <c r="AJ714" s="42"/>
      <c r="AK714" s="42"/>
    </row>
    <row r="715" spans="25:37" ht="12.75" x14ac:dyDescent="0.35">
      <c r="Y715" s="39"/>
      <c r="Z715" s="39"/>
      <c r="AA715" s="39"/>
      <c r="AB715" s="39"/>
      <c r="AD715" s="40"/>
      <c r="AE715" s="41"/>
      <c r="AF715" s="42"/>
      <c r="AI715" s="49"/>
      <c r="AJ715" s="42"/>
      <c r="AK715" s="42"/>
    </row>
    <row r="716" spans="25:37" ht="12.75" x14ac:dyDescent="0.35">
      <c r="Y716" s="39"/>
      <c r="Z716" s="39"/>
      <c r="AA716" s="39"/>
      <c r="AB716" s="39"/>
      <c r="AD716" s="40"/>
      <c r="AE716" s="41"/>
      <c r="AF716" s="42"/>
      <c r="AI716" s="49"/>
      <c r="AJ716" s="42"/>
      <c r="AK716" s="42"/>
    </row>
    <row r="717" spans="25:37" ht="12.75" x14ac:dyDescent="0.35">
      <c r="Y717" s="39"/>
      <c r="Z717" s="39"/>
      <c r="AA717" s="39"/>
      <c r="AB717" s="39"/>
      <c r="AD717" s="40"/>
      <c r="AE717" s="41"/>
      <c r="AF717" s="42"/>
      <c r="AI717" s="49"/>
      <c r="AJ717" s="42"/>
      <c r="AK717" s="42"/>
    </row>
    <row r="718" spans="25:37" ht="12.75" x14ac:dyDescent="0.35">
      <c r="Y718" s="39"/>
      <c r="Z718" s="39"/>
      <c r="AA718" s="39"/>
      <c r="AB718" s="39"/>
      <c r="AD718" s="40"/>
      <c r="AE718" s="41"/>
      <c r="AF718" s="42"/>
      <c r="AI718" s="49"/>
      <c r="AJ718" s="42"/>
      <c r="AK718" s="42"/>
    </row>
    <row r="719" spans="25:37" ht="12.75" x14ac:dyDescent="0.35">
      <c r="Y719" s="39"/>
      <c r="Z719" s="39"/>
      <c r="AA719" s="39"/>
      <c r="AB719" s="39"/>
      <c r="AD719" s="40"/>
      <c r="AE719" s="41"/>
      <c r="AF719" s="42"/>
      <c r="AI719" s="49"/>
      <c r="AJ719" s="42"/>
      <c r="AK719" s="42"/>
    </row>
    <row r="720" spans="25:37" ht="12.75" x14ac:dyDescent="0.35">
      <c r="Y720" s="39"/>
      <c r="Z720" s="39"/>
      <c r="AA720" s="39"/>
      <c r="AB720" s="39"/>
      <c r="AD720" s="40"/>
      <c r="AE720" s="41"/>
      <c r="AF720" s="42"/>
      <c r="AI720" s="49"/>
      <c r="AJ720" s="42"/>
      <c r="AK720" s="42"/>
    </row>
    <row r="721" spans="25:37" ht="12.75" x14ac:dyDescent="0.35">
      <c r="Y721" s="39"/>
      <c r="Z721" s="39"/>
      <c r="AA721" s="39"/>
      <c r="AB721" s="39"/>
      <c r="AD721" s="40"/>
      <c r="AE721" s="41"/>
      <c r="AF721" s="42"/>
      <c r="AI721" s="49"/>
      <c r="AJ721" s="42"/>
      <c r="AK721" s="42"/>
    </row>
    <row r="722" spans="25:37" ht="12.75" x14ac:dyDescent="0.35">
      <c r="Y722" s="39"/>
      <c r="Z722" s="39"/>
      <c r="AA722" s="39"/>
      <c r="AB722" s="39"/>
      <c r="AD722" s="40"/>
      <c r="AE722" s="41"/>
      <c r="AF722" s="42"/>
      <c r="AI722" s="49"/>
      <c r="AJ722" s="42"/>
      <c r="AK722" s="42"/>
    </row>
    <row r="723" spans="25:37" ht="12.75" x14ac:dyDescent="0.35">
      <c r="Y723" s="39"/>
      <c r="Z723" s="39"/>
      <c r="AA723" s="39"/>
      <c r="AB723" s="39"/>
      <c r="AD723" s="40"/>
      <c r="AE723" s="41"/>
      <c r="AF723" s="42"/>
      <c r="AI723" s="49"/>
      <c r="AJ723" s="42"/>
      <c r="AK723" s="42"/>
    </row>
    <row r="724" spans="25:37" ht="12.75" x14ac:dyDescent="0.35">
      <c r="Y724" s="39"/>
      <c r="Z724" s="39"/>
      <c r="AA724" s="39"/>
      <c r="AB724" s="39"/>
      <c r="AD724" s="40"/>
      <c r="AE724" s="41"/>
      <c r="AF724" s="42"/>
      <c r="AI724" s="49"/>
      <c r="AJ724" s="42"/>
      <c r="AK724" s="42"/>
    </row>
    <row r="725" spans="25:37" ht="12.75" x14ac:dyDescent="0.35">
      <c r="Y725" s="39"/>
      <c r="Z725" s="39"/>
      <c r="AA725" s="39"/>
      <c r="AB725" s="39"/>
      <c r="AD725" s="40"/>
      <c r="AE725" s="41"/>
      <c r="AF725" s="42"/>
      <c r="AI725" s="49"/>
      <c r="AJ725" s="42"/>
      <c r="AK725" s="42"/>
    </row>
    <row r="726" spans="25:37" ht="12.75" x14ac:dyDescent="0.35">
      <c r="Y726" s="39"/>
      <c r="Z726" s="39"/>
      <c r="AA726" s="39"/>
      <c r="AB726" s="39"/>
      <c r="AD726" s="40"/>
      <c r="AE726" s="41"/>
      <c r="AF726" s="42"/>
      <c r="AI726" s="49"/>
      <c r="AJ726" s="42"/>
      <c r="AK726" s="42"/>
    </row>
    <row r="727" spans="25:37" ht="12.75" x14ac:dyDescent="0.35">
      <c r="Y727" s="39"/>
      <c r="Z727" s="39"/>
      <c r="AA727" s="39"/>
      <c r="AB727" s="39"/>
      <c r="AD727" s="40"/>
      <c r="AE727" s="41"/>
      <c r="AF727" s="42"/>
      <c r="AI727" s="49"/>
      <c r="AJ727" s="42"/>
      <c r="AK727" s="42"/>
    </row>
    <row r="728" spans="25:37" ht="12.75" x14ac:dyDescent="0.35">
      <c r="Y728" s="39"/>
      <c r="Z728" s="39"/>
      <c r="AA728" s="39"/>
      <c r="AB728" s="39"/>
      <c r="AD728" s="40"/>
      <c r="AE728" s="41"/>
      <c r="AF728" s="42"/>
      <c r="AI728" s="49"/>
      <c r="AJ728" s="42"/>
      <c r="AK728" s="42"/>
    </row>
    <row r="729" spans="25:37" ht="12.75" x14ac:dyDescent="0.35">
      <c r="Y729" s="39"/>
      <c r="Z729" s="39"/>
      <c r="AA729" s="39"/>
      <c r="AB729" s="39"/>
      <c r="AD729" s="40"/>
      <c r="AE729" s="41"/>
      <c r="AF729" s="42"/>
      <c r="AI729" s="49"/>
      <c r="AJ729" s="42"/>
      <c r="AK729" s="42"/>
    </row>
    <row r="730" spans="25:37" ht="12.75" x14ac:dyDescent="0.35">
      <c r="Y730" s="39"/>
      <c r="Z730" s="39"/>
      <c r="AA730" s="39"/>
      <c r="AB730" s="39"/>
      <c r="AD730" s="40"/>
      <c r="AE730" s="41"/>
      <c r="AF730" s="42"/>
      <c r="AI730" s="49"/>
      <c r="AJ730" s="42"/>
      <c r="AK730" s="42"/>
    </row>
    <row r="731" spans="25:37" ht="12.75" x14ac:dyDescent="0.35">
      <c r="Y731" s="39"/>
      <c r="Z731" s="39"/>
      <c r="AA731" s="39"/>
      <c r="AB731" s="39"/>
      <c r="AD731" s="40"/>
      <c r="AE731" s="41"/>
      <c r="AF731" s="42"/>
      <c r="AI731" s="49"/>
      <c r="AJ731" s="42"/>
      <c r="AK731" s="42"/>
    </row>
    <row r="732" spans="25:37" ht="12.75" x14ac:dyDescent="0.35">
      <c r="Y732" s="39"/>
      <c r="Z732" s="39"/>
      <c r="AA732" s="39"/>
      <c r="AB732" s="39"/>
      <c r="AD732" s="40"/>
      <c r="AE732" s="41"/>
      <c r="AF732" s="42"/>
      <c r="AI732" s="49"/>
      <c r="AJ732" s="42"/>
      <c r="AK732" s="42"/>
    </row>
    <row r="733" spans="25:37" ht="12.75" x14ac:dyDescent="0.35">
      <c r="Y733" s="39"/>
      <c r="Z733" s="39"/>
      <c r="AA733" s="39"/>
      <c r="AB733" s="39"/>
      <c r="AD733" s="40"/>
      <c r="AE733" s="41"/>
      <c r="AF733" s="42"/>
      <c r="AI733" s="49"/>
      <c r="AJ733" s="42"/>
      <c r="AK733" s="42"/>
    </row>
    <row r="734" spans="25:37" ht="12.75" x14ac:dyDescent="0.35">
      <c r="Y734" s="39"/>
      <c r="Z734" s="39"/>
      <c r="AA734" s="39"/>
      <c r="AB734" s="39"/>
      <c r="AD734" s="40"/>
      <c r="AE734" s="41"/>
      <c r="AF734" s="42"/>
      <c r="AI734" s="49"/>
      <c r="AJ734" s="42"/>
      <c r="AK734" s="42"/>
    </row>
    <row r="735" spans="25:37" ht="12.75" x14ac:dyDescent="0.35">
      <c r="Y735" s="39"/>
      <c r="Z735" s="39"/>
      <c r="AA735" s="39"/>
      <c r="AB735" s="39"/>
      <c r="AD735" s="40"/>
      <c r="AE735" s="41"/>
      <c r="AF735" s="42"/>
      <c r="AI735" s="49"/>
      <c r="AJ735" s="42"/>
      <c r="AK735" s="42"/>
    </row>
    <row r="736" spans="25:37" ht="12.75" x14ac:dyDescent="0.35">
      <c r="Y736" s="39"/>
      <c r="Z736" s="39"/>
      <c r="AA736" s="39"/>
      <c r="AB736" s="39"/>
      <c r="AD736" s="40"/>
      <c r="AE736" s="41"/>
      <c r="AF736" s="42"/>
      <c r="AI736" s="49"/>
      <c r="AJ736" s="42"/>
      <c r="AK736" s="42"/>
    </row>
    <row r="737" spans="25:37" ht="12.75" x14ac:dyDescent="0.35">
      <c r="Y737" s="39"/>
      <c r="Z737" s="39"/>
      <c r="AA737" s="39"/>
      <c r="AB737" s="39"/>
      <c r="AD737" s="40"/>
      <c r="AE737" s="41"/>
      <c r="AF737" s="42"/>
      <c r="AI737" s="49"/>
      <c r="AJ737" s="42"/>
      <c r="AK737" s="42"/>
    </row>
    <row r="738" spans="25:37" ht="12.75" x14ac:dyDescent="0.35">
      <c r="Y738" s="39"/>
      <c r="Z738" s="39"/>
      <c r="AA738" s="39"/>
      <c r="AB738" s="39"/>
      <c r="AD738" s="40"/>
      <c r="AE738" s="41"/>
      <c r="AF738" s="42"/>
      <c r="AI738" s="49"/>
      <c r="AJ738" s="42"/>
      <c r="AK738" s="42"/>
    </row>
    <row r="739" spans="25:37" ht="12.75" x14ac:dyDescent="0.35">
      <c r="Y739" s="39"/>
      <c r="Z739" s="39"/>
      <c r="AA739" s="39"/>
      <c r="AB739" s="39"/>
      <c r="AD739" s="40"/>
      <c r="AE739" s="41"/>
      <c r="AF739" s="42"/>
      <c r="AI739" s="49"/>
      <c r="AJ739" s="42"/>
      <c r="AK739" s="42"/>
    </row>
    <row r="740" spans="25:37" ht="12.75" x14ac:dyDescent="0.35">
      <c r="Y740" s="39"/>
      <c r="Z740" s="39"/>
      <c r="AA740" s="39"/>
      <c r="AB740" s="39"/>
      <c r="AD740" s="40"/>
      <c r="AE740" s="41"/>
      <c r="AF740" s="42"/>
      <c r="AI740" s="49"/>
      <c r="AJ740" s="42"/>
      <c r="AK740" s="42"/>
    </row>
    <row r="741" spans="25:37" ht="12.75" x14ac:dyDescent="0.35">
      <c r="Y741" s="39"/>
      <c r="Z741" s="39"/>
      <c r="AA741" s="39"/>
      <c r="AB741" s="39"/>
      <c r="AD741" s="40"/>
      <c r="AE741" s="41"/>
      <c r="AF741" s="42"/>
      <c r="AI741" s="49"/>
      <c r="AJ741" s="42"/>
      <c r="AK741" s="42"/>
    </row>
    <row r="742" spans="25:37" ht="12.75" x14ac:dyDescent="0.35">
      <c r="Y742" s="39"/>
      <c r="Z742" s="39"/>
      <c r="AA742" s="39"/>
      <c r="AB742" s="39"/>
      <c r="AD742" s="40"/>
      <c r="AE742" s="41"/>
      <c r="AF742" s="42"/>
      <c r="AI742" s="49"/>
      <c r="AJ742" s="42"/>
      <c r="AK742" s="42"/>
    </row>
    <row r="743" spans="25:37" ht="12.75" x14ac:dyDescent="0.35">
      <c r="Y743" s="39"/>
      <c r="Z743" s="39"/>
      <c r="AA743" s="39"/>
      <c r="AB743" s="39"/>
      <c r="AD743" s="40"/>
      <c r="AE743" s="41"/>
      <c r="AF743" s="42"/>
      <c r="AI743" s="49"/>
      <c r="AJ743" s="42"/>
      <c r="AK743" s="42"/>
    </row>
    <row r="744" spans="25:37" ht="12.75" x14ac:dyDescent="0.35">
      <c r="Y744" s="39"/>
      <c r="Z744" s="39"/>
      <c r="AA744" s="39"/>
      <c r="AB744" s="39"/>
      <c r="AD744" s="40"/>
      <c r="AE744" s="41"/>
      <c r="AF744" s="42"/>
      <c r="AI744" s="49"/>
      <c r="AJ744" s="42"/>
      <c r="AK744" s="42"/>
    </row>
    <row r="745" spans="25:37" ht="12.75" x14ac:dyDescent="0.35">
      <c r="Y745" s="39"/>
      <c r="Z745" s="39"/>
      <c r="AA745" s="39"/>
      <c r="AB745" s="39"/>
      <c r="AD745" s="40"/>
      <c r="AE745" s="41"/>
      <c r="AF745" s="42"/>
      <c r="AI745" s="49"/>
      <c r="AJ745" s="42"/>
      <c r="AK745" s="42"/>
    </row>
    <row r="746" spans="25:37" ht="12.75" x14ac:dyDescent="0.35">
      <c r="Y746" s="39"/>
      <c r="Z746" s="39"/>
      <c r="AA746" s="39"/>
      <c r="AB746" s="39"/>
      <c r="AD746" s="40"/>
      <c r="AE746" s="41"/>
      <c r="AF746" s="42"/>
      <c r="AI746" s="49"/>
      <c r="AJ746" s="42"/>
      <c r="AK746" s="42"/>
    </row>
    <row r="747" spans="25:37" ht="12.75" x14ac:dyDescent="0.35">
      <c r="Y747" s="39"/>
      <c r="Z747" s="39"/>
      <c r="AA747" s="39"/>
      <c r="AB747" s="39"/>
      <c r="AD747" s="40"/>
      <c r="AE747" s="41"/>
      <c r="AF747" s="42"/>
      <c r="AI747" s="49"/>
      <c r="AJ747" s="42"/>
      <c r="AK747" s="42"/>
    </row>
    <row r="748" spans="25:37" ht="12.75" x14ac:dyDescent="0.35">
      <c r="Y748" s="39"/>
      <c r="Z748" s="39"/>
      <c r="AA748" s="39"/>
      <c r="AB748" s="39"/>
      <c r="AD748" s="40"/>
      <c r="AE748" s="41"/>
      <c r="AF748" s="42"/>
      <c r="AI748" s="49"/>
      <c r="AJ748" s="42"/>
      <c r="AK748" s="42"/>
    </row>
    <row r="749" spans="25:37" ht="12.75" x14ac:dyDescent="0.35">
      <c r="Y749" s="39"/>
      <c r="Z749" s="39"/>
      <c r="AA749" s="39"/>
      <c r="AB749" s="39"/>
      <c r="AD749" s="40"/>
      <c r="AE749" s="41"/>
      <c r="AF749" s="42"/>
      <c r="AI749" s="49"/>
      <c r="AJ749" s="42"/>
      <c r="AK749" s="42"/>
    </row>
    <row r="750" spans="25:37" ht="12.75" x14ac:dyDescent="0.35">
      <c r="Y750" s="39"/>
      <c r="Z750" s="39"/>
      <c r="AA750" s="39"/>
      <c r="AB750" s="39"/>
      <c r="AD750" s="40"/>
      <c r="AE750" s="41"/>
      <c r="AF750" s="42"/>
      <c r="AI750" s="49"/>
      <c r="AJ750" s="42"/>
      <c r="AK750" s="42"/>
    </row>
    <row r="751" spans="25:37" ht="12.75" x14ac:dyDescent="0.35">
      <c r="Y751" s="39"/>
      <c r="Z751" s="39"/>
      <c r="AA751" s="39"/>
      <c r="AB751" s="39"/>
      <c r="AD751" s="40"/>
      <c r="AE751" s="41"/>
      <c r="AF751" s="42"/>
      <c r="AI751" s="49"/>
      <c r="AJ751" s="42"/>
      <c r="AK751" s="42"/>
    </row>
    <row r="752" spans="25:37" ht="12.75" x14ac:dyDescent="0.35">
      <c r="Y752" s="39"/>
      <c r="Z752" s="39"/>
      <c r="AA752" s="39"/>
      <c r="AB752" s="39"/>
      <c r="AD752" s="40"/>
      <c r="AE752" s="41"/>
      <c r="AF752" s="42"/>
      <c r="AI752" s="49"/>
      <c r="AJ752" s="42"/>
      <c r="AK752" s="42"/>
    </row>
    <row r="753" spans="25:37" ht="12.75" x14ac:dyDescent="0.35">
      <c r="Y753" s="39"/>
      <c r="Z753" s="39"/>
      <c r="AA753" s="39"/>
      <c r="AB753" s="39"/>
      <c r="AD753" s="40"/>
      <c r="AE753" s="41"/>
      <c r="AF753" s="42"/>
      <c r="AI753" s="49"/>
      <c r="AJ753" s="42"/>
      <c r="AK753" s="42"/>
    </row>
    <row r="754" spans="25:37" ht="12.75" x14ac:dyDescent="0.35">
      <c r="Y754" s="39"/>
      <c r="Z754" s="39"/>
      <c r="AA754" s="39"/>
      <c r="AB754" s="39"/>
      <c r="AD754" s="40"/>
      <c r="AE754" s="41"/>
      <c r="AF754" s="42"/>
      <c r="AI754" s="49"/>
      <c r="AJ754" s="42"/>
      <c r="AK754" s="42"/>
    </row>
    <row r="755" spans="25:37" ht="12.75" x14ac:dyDescent="0.35">
      <c r="Y755" s="39"/>
      <c r="Z755" s="39"/>
      <c r="AA755" s="39"/>
      <c r="AB755" s="39"/>
      <c r="AD755" s="40"/>
      <c r="AE755" s="41"/>
      <c r="AF755" s="42"/>
      <c r="AI755" s="49"/>
      <c r="AJ755" s="42"/>
      <c r="AK755" s="42"/>
    </row>
    <row r="756" spans="25:37" ht="12.75" x14ac:dyDescent="0.35">
      <c r="Y756" s="39"/>
      <c r="Z756" s="39"/>
      <c r="AA756" s="39"/>
      <c r="AB756" s="39"/>
      <c r="AD756" s="40"/>
      <c r="AE756" s="41"/>
      <c r="AF756" s="42"/>
      <c r="AI756" s="49"/>
      <c r="AJ756" s="42"/>
      <c r="AK756" s="42"/>
    </row>
    <row r="757" spans="25:37" ht="12.75" x14ac:dyDescent="0.35">
      <c r="Y757" s="39"/>
      <c r="Z757" s="39"/>
      <c r="AA757" s="39"/>
      <c r="AB757" s="39"/>
      <c r="AD757" s="40"/>
      <c r="AE757" s="41"/>
      <c r="AF757" s="42"/>
      <c r="AI757" s="49"/>
      <c r="AJ757" s="42"/>
      <c r="AK757" s="42"/>
    </row>
    <row r="758" spans="25:37" ht="12.75" x14ac:dyDescent="0.35">
      <c r="Y758" s="39"/>
      <c r="Z758" s="39"/>
      <c r="AA758" s="39"/>
      <c r="AB758" s="39"/>
      <c r="AD758" s="40"/>
      <c r="AE758" s="41"/>
      <c r="AF758" s="42"/>
      <c r="AI758" s="49"/>
      <c r="AJ758" s="42"/>
      <c r="AK758" s="42"/>
    </row>
    <row r="759" spans="25:37" ht="12.75" x14ac:dyDescent="0.35">
      <c r="Y759" s="39"/>
      <c r="Z759" s="39"/>
      <c r="AA759" s="39"/>
      <c r="AB759" s="39"/>
      <c r="AD759" s="40"/>
      <c r="AE759" s="41"/>
      <c r="AF759" s="42"/>
      <c r="AI759" s="49"/>
      <c r="AJ759" s="42"/>
      <c r="AK759" s="42"/>
    </row>
    <row r="760" spans="25:37" ht="12.75" x14ac:dyDescent="0.35">
      <c r="Y760" s="39"/>
      <c r="Z760" s="39"/>
      <c r="AA760" s="39"/>
      <c r="AB760" s="39"/>
      <c r="AD760" s="40"/>
      <c r="AE760" s="41"/>
      <c r="AF760" s="42"/>
      <c r="AI760" s="49"/>
      <c r="AJ760" s="42"/>
      <c r="AK760" s="42"/>
    </row>
    <row r="761" spans="25:37" ht="12.75" x14ac:dyDescent="0.35">
      <c r="Y761" s="39"/>
      <c r="Z761" s="39"/>
      <c r="AA761" s="39"/>
      <c r="AB761" s="39"/>
      <c r="AD761" s="40"/>
      <c r="AE761" s="41"/>
      <c r="AF761" s="42"/>
      <c r="AI761" s="49"/>
      <c r="AJ761" s="42"/>
      <c r="AK761" s="42"/>
    </row>
    <row r="762" spans="25:37" ht="12.75" x14ac:dyDescent="0.35">
      <c r="Y762" s="39"/>
      <c r="Z762" s="39"/>
      <c r="AA762" s="39"/>
      <c r="AB762" s="39"/>
      <c r="AD762" s="40"/>
      <c r="AE762" s="41"/>
      <c r="AF762" s="42"/>
      <c r="AI762" s="49"/>
      <c r="AJ762" s="42"/>
      <c r="AK762" s="42"/>
    </row>
    <row r="763" spans="25:37" ht="12.75" x14ac:dyDescent="0.35">
      <c r="Y763" s="39"/>
      <c r="Z763" s="39"/>
      <c r="AA763" s="39"/>
      <c r="AB763" s="39"/>
      <c r="AD763" s="40"/>
      <c r="AE763" s="41"/>
      <c r="AF763" s="42"/>
      <c r="AI763" s="49"/>
      <c r="AJ763" s="42"/>
      <c r="AK763" s="42"/>
    </row>
    <row r="764" spans="25:37" ht="12.75" x14ac:dyDescent="0.35">
      <c r="Y764" s="39"/>
      <c r="Z764" s="39"/>
      <c r="AA764" s="39"/>
      <c r="AB764" s="39"/>
      <c r="AD764" s="40"/>
      <c r="AE764" s="41"/>
      <c r="AF764" s="42"/>
      <c r="AI764" s="49"/>
      <c r="AJ764" s="42"/>
      <c r="AK764" s="42"/>
    </row>
    <row r="765" spans="25:37" ht="12.75" x14ac:dyDescent="0.35">
      <c r="Y765" s="39"/>
      <c r="Z765" s="39"/>
      <c r="AA765" s="39"/>
      <c r="AB765" s="39"/>
      <c r="AD765" s="40"/>
      <c r="AE765" s="41"/>
      <c r="AF765" s="42"/>
      <c r="AI765" s="49"/>
      <c r="AJ765" s="42"/>
      <c r="AK765" s="42"/>
    </row>
    <row r="766" spans="25:37" ht="12.75" x14ac:dyDescent="0.35">
      <c r="Y766" s="39"/>
      <c r="Z766" s="39"/>
      <c r="AA766" s="39"/>
      <c r="AB766" s="39"/>
      <c r="AD766" s="40"/>
      <c r="AE766" s="41"/>
      <c r="AF766" s="42"/>
      <c r="AI766" s="49"/>
      <c r="AJ766" s="42"/>
      <c r="AK766" s="42"/>
    </row>
    <row r="767" spans="25:37" ht="12.75" x14ac:dyDescent="0.35">
      <c r="Y767" s="39"/>
      <c r="Z767" s="39"/>
      <c r="AA767" s="39"/>
      <c r="AB767" s="39"/>
      <c r="AD767" s="40"/>
      <c r="AE767" s="41"/>
      <c r="AF767" s="42"/>
      <c r="AI767" s="49"/>
      <c r="AJ767" s="42"/>
      <c r="AK767" s="42"/>
    </row>
    <row r="768" spans="25:37" ht="12.75" x14ac:dyDescent="0.35">
      <c r="Y768" s="39"/>
      <c r="Z768" s="39"/>
      <c r="AA768" s="39"/>
      <c r="AB768" s="39"/>
      <c r="AD768" s="40"/>
      <c r="AE768" s="41"/>
      <c r="AF768" s="42"/>
      <c r="AI768" s="49"/>
      <c r="AJ768" s="42"/>
      <c r="AK768" s="42"/>
    </row>
    <row r="769" spans="25:37" ht="12.75" x14ac:dyDescent="0.35">
      <c r="Y769" s="39"/>
      <c r="Z769" s="39"/>
      <c r="AA769" s="39"/>
      <c r="AB769" s="39"/>
      <c r="AD769" s="40"/>
      <c r="AE769" s="41"/>
      <c r="AF769" s="42"/>
      <c r="AI769" s="49"/>
      <c r="AJ769" s="42"/>
      <c r="AK769" s="42"/>
    </row>
    <row r="770" spans="25:37" ht="12.75" x14ac:dyDescent="0.35">
      <c r="Y770" s="39"/>
      <c r="Z770" s="39"/>
      <c r="AA770" s="39"/>
      <c r="AB770" s="39"/>
      <c r="AD770" s="40"/>
      <c r="AE770" s="41"/>
      <c r="AF770" s="42"/>
      <c r="AI770" s="49"/>
      <c r="AJ770" s="42"/>
      <c r="AK770" s="42"/>
    </row>
    <row r="771" spans="25:37" ht="12.75" x14ac:dyDescent="0.35">
      <c r="Y771" s="39"/>
      <c r="Z771" s="39"/>
      <c r="AA771" s="39"/>
      <c r="AB771" s="39"/>
      <c r="AD771" s="40"/>
      <c r="AE771" s="41"/>
      <c r="AF771" s="42"/>
      <c r="AI771" s="49"/>
      <c r="AJ771" s="42"/>
      <c r="AK771" s="42"/>
    </row>
    <row r="772" spans="25:37" ht="12.75" x14ac:dyDescent="0.35">
      <c r="Y772" s="39"/>
      <c r="Z772" s="39"/>
      <c r="AA772" s="39"/>
      <c r="AB772" s="39"/>
      <c r="AD772" s="40"/>
      <c r="AE772" s="41"/>
      <c r="AF772" s="42"/>
      <c r="AI772" s="49"/>
      <c r="AJ772" s="42"/>
      <c r="AK772" s="42"/>
    </row>
    <row r="773" spans="25:37" ht="12.75" x14ac:dyDescent="0.35">
      <c r="Y773" s="39"/>
      <c r="Z773" s="39"/>
      <c r="AA773" s="39"/>
      <c r="AB773" s="39"/>
      <c r="AD773" s="40"/>
      <c r="AE773" s="41"/>
      <c r="AF773" s="42"/>
      <c r="AI773" s="49"/>
      <c r="AJ773" s="42"/>
      <c r="AK773" s="42"/>
    </row>
    <row r="774" spans="25:37" ht="12.75" x14ac:dyDescent="0.35">
      <c r="Y774" s="39"/>
      <c r="Z774" s="39"/>
      <c r="AA774" s="39"/>
      <c r="AB774" s="39"/>
      <c r="AD774" s="40"/>
      <c r="AE774" s="41"/>
      <c r="AF774" s="42"/>
      <c r="AI774" s="49"/>
      <c r="AJ774" s="42"/>
      <c r="AK774" s="42"/>
    </row>
    <row r="775" spans="25:37" ht="12.75" x14ac:dyDescent="0.35">
      <c r="Y775" s="39"/>
      <c r="Z775" s="39"/>
      <c r="AA775" s="39"/>
      <c r="AB775" s="39"/>
      <c r="AD775" s="40"/>
      <c r="AE775" s="41"/>
      <c r="AF775" s="42"/>
      <c r="AI775" s="49"/>
      <c r="AJ775" s="42"/>
      <c r="AK775" s="42"/>
    </row>
    <row r="776" spans="25:37" ht="12.75" x14ac:dyDescent="0.35">
      <c r="Y776" s="39"/>
      <c r="Z776" s="39"/>
      <c r="AA776" s="39"/>
      <c r="AB776" s="39"/>
      <c r="AD776" s="40"/>
      <c r="AE776" s="41"/>
      <c r="AF776" s="42"/>
      <c r="AI776" s="49"/>
      <c r="AJ776" s="42"/>
      <c r="AK776" s="42"/>
    </row>
    <row r="777" spans="25:37" ht="12.75" x14ac:dyDescent="0.35">
      <c r="Y777" s="39"/>
      <c r="Z777" s="39"/>
      <c r="AA777" s="39"/>
      <c r="AB777" s="39"/>
      <c r="AD777" s="40"/>
      <c r="AE777" s="41"/>
      <c r="AF777" s="42"/>
      <c r="AI777" s="49"/>
      <c r="AJ777" s="42"/>
      <c r="AK777" s="42"/>
    </row>
    <row r="778" spans="25:37" ht="12.75" x14ac:dyDescent="0.35">
      <c r="Y778" s="39"/>
      <c r="Z778" s="39"/>
      <c r="AA778" s="39"/>
      <c r="AB778" s="39"/>
      <c r="AD778" s="40"/>
      <c r="AE778" s="41"/>
      <c r="AF778" s="42"/>
      <c r="AI778" s="49"/>
      <c r="AJ778" s="42"/>
      <c r="AK778" s="42"/>
    </row>
    <row r="779" spans="25:37" ht="12.75" x14ac:dyDescent="0.35">
      <c r="Y779" s="39"/>
      <c r="Z779" s="39"/>
      <c r="AA779" s="39"/>
      <c r="AB779" s="39"/>
      <c r="AD779" s="40"/>
      <c r="AE779" s="41"/>
      <c r="AF779" s="42"/>
      <c r="AI779" s="49"/>
      <c r="AJ779" s="42"/>
      <c r="AK779" s="42"/>
    </row>
    <row r="780" spans="25:37" ht="12.75" x14ac:dyDescent="0.35">
      <c r="Y780" s="39"/>
      <c r="Z780" s="39"/>
      <c r="AA780" s="39"/>
      <c r="AB780" s="39"/>
      <c r="AD780" s="40"/>
      <c r="AE780" s="41"/>
      <c r="AF780" s="42"/>
      <c r="AI780" s="49"/>
      <c r="AJ780" s="42"/>
      <c r="AK780" s="42"/>
    </row>
    <row r="781" spans="25:37" ht="12.75" x14ac:dyDescent="0.35">
      <c r="Y781" s="39"/>
      <c r="Z781" s="39"/>
      <c r="AA781" s="39"/>
      <c r="AB781" s="39"/>
      <c r="AD781" s="40"/>
      <c r="AE781" s="41"/>
      <c r="AF781" s="42"/>
      <c r="AI781" s="49"/>
      <c r="AJ781" s="42"/>
      <c r="AK781" s="42"/>
    </row>
    <row r="782" spans="25:37" ht="12.75" x14ac:dyDescent="0.35">
      <c r="Y782" s="39"/>
      <c r="Z782" s="39"/>
      <c r="AA782" s="39"/>
      <c r="AB782" s="39"/>
      <c r="AD782" s="40"/>
      <c r="AE782" s="41"/>
      <c r="AF782" s="42"/>
      <c r="AI782" s="49"/>
      <c r="AJ782" s="42"/>
      <c r="AK782" s="42"/>
    </row>
    <row r="783" spans="25:37" ht="12.75" x14ac:dyDescent="0.35">
      <c r="Y783" s="39"/>
      <c r="Z783" s="39"/>
      <c r="AA783" s="39"/>
      <c r="AB783" s="39"/>
      <c r="AD783" s="40"/>
      <c r="AE783" s="41"/>
      <c r="AF783" s="42"/>
      <c r="AI783" s="49"/>
      <c r="AJ783" s="42"/>
      <c r="AK783" s="42"/>
    </row>
    <row r="784" spans="25:37" ht="12.75" x14ac:dyDescent="0.35">
      <c r="Y784" s="39"/>
      <c r="Z784" s="39"/>
      <c r="AA784" s="39"/>
      <c r="AB784" s="39"/>
      <c r="AD784" s="40"/>
      <c r="AE784" s="41"/>
      <c r="AF784" s="42"/>
      <c r="AI784" s="49"/>
      <c r="AJ784" s="42"/>
      <c r="AK784" s="42"/>
    </row>
    <row r="785" spans="25:37" ht="12.75" x14ac:dyDescent="0.35">
      <c r="Y785" s="39"/>
      <c r="Z785" s="39"/>
      <c r="AA785" s="39"/>
      <c r="AB785" s="39"/>
      <c r="AD785" s="40"/>
      <c r="AE785" s="41"/>
      <c r="AF785" s="42"/>
      <c r="AI785" s="49"/>
      <c r="AJ785" s="42"/>
      <c r="AK785" s="42"/>
    </row>
    <row r="786" spans="25:37" ht="12.75" x14ac:dyDescent="0.35">
      <c r="Y786" s="39"/>
      <c r="Z786" s="39"/>
      <c r="AA786" s="39"/>
      <c r="AB786" s="39"/>
      <c r="AD786" s="40"/>
      <c r="AE786" s="41"/>
      <c r="AF786" s="42"/>
      <c r="AI786" s="49"/>
      <c r="AJ786" s="42"/>
      <c r="AK786" s="42"/>
    </row>
    <row r="787" spans="25:37" ht="12.75" x14ac:dyDescent="0.35">
      <c r="Y787" s="39"/>
      <c r="Z787" s="39"/>
      <c r="AA787" s="39"/>
      <c r="AB787" s="39"/>
      <c r="AD787" s="40"/>
      <c r="AE787" s="41"/>
      <c r="AF787" s="42"/>
      <c r="AI787" s="49"/>
      <c r="AJ787" s="42"/>
      <c r="AK787" s="42"/>
    </row>
    <row r="788" spans="25:37" ht="12.75" x14ac:dyDescent="0.35">
      <c r="Y788" s="39"/>
      <c r="Z788" s="39"/>
      <c r="AA788" s="39"/>
      <c r="AB788" s="39"/>
      <c r="AD788" s="40"/>
      <c r="AE788" s="41"/>
      <c r="AF788" s="42"/>
      <c r="AI788" s="49"/>
      <c r="AJ788" s="42"/>
      <c r="AK788" s="42"/>
    </row>
    <row r="789" spans="25:37" ht="12.75" x14ac:dyDescent="0.35">
      <c r="Y789" s="39"/>
      <c r="Z789" s="39"/>
      <c r="AA789" s="39"/>
      <c r="AB789" s="39"/>
      <c r="AD789" s="40"/>
      <c r="AE789" s="41"/>
      <c r="AF789" s="42"/>
      <c r="AI789" s="49"/>
      <c r="AJ789" s="42"/>
      <c r="AK789" s="42"/>
    </row>
    <row r="790" spans="25:37" ht="12.75" x14ac:dyDescent="0.35">
      <c r="Y790" s="39"/>
      <c r="Z790" s="39"/>
      <c r="AA790" s="39"/>
      <c r="AB790" s="39"/>
      <c r="AD790" s="40"/>
      <c r="AE790" s="41"/>
      <c r="AF790" s="42"/>
      <c r="AI790" s="49"/>
      <c r="AJ790" s="42"/>
      <c r="AK790" s="42"/>
    </row>
    <row r="791" spans="25:37" ht="12.75" x14ac:dyDescent="0.35">
      <c r="Y791" s="39"/>
      <c r="Z791" s="39"/>
      <c r="AA791" s="39"/>
      <c r="AB791" s="39"/>
      <c r="AD791" s="40"/>
      <c r="AE791" s="41"/>
      <c r="AF791" s="42"/>
      <c r="AI791" s="49"/>
      <c r="AJ791" s="42"/>
      <c r="AK791" s="42"/>
    </row>
    <row r="792" spans="25:37" ht="12.75" x14ac:dyDescent="0.35">
      <c r="Y792" s="39"/>
      <c r="Z792" s="39"/>
      <c r="AA792" s="39"/>
      <c r="AB792" s="39"/>
      <c r="AD792" s="40"/>
      <c r="AE792" s="41"/>
      <c r="AF792" s="42"/>
      <c r="AI792" s="49"/>
      <c r="AJ792" s="42"/>
      <c r="AK792" s="42"/>
    </row>
    <row r="793" spans="25:37" ht="12.75" x14ac:dyDescent="0.35">
      <c r="Y793" s="39"/>
      <c r="Z793" s="39"/>
      <c r="AA793" s="39"/>
      <c r="AB793" s="39"/>
      <c r="AD793" s="40"/>
      <c r="AE793" s="41"/>
      <c r="AF793" s="42"/>
      <c r="AI793" s="49"/>
      <c r="AJ793" s="42"/>
      <c r="AK793" s="42"/>
    </row>
    <row r="794" spans="25:37" ht="12.75" x14ac:dyDescent="0.35">
      <c r="Y794" s="39"/>
      <c r="Z794" s="39"/>
      <c r="AA794" s="39"/>
      <c r="AB794" s="39"/>
      <c r="AD794" s="40"/>
      <c r="AE794" s="41"/>
      <c r="AF794" s="42"/>
      <c r="AI794" s="49"/>
      <c r="AJ794" s="42"/>
      <c r="AK794" s="42"/>
    </row>
    <row r="795" spans="25:37" ht="12.75" x14ac:dyDescent="0.35">
      <c r="Y795" s="39"/>
      <c r="Z795" s="39"/>
      <c r="AA795" s="39"/>
      <c r="AB795" s="39"/>
      <c r="AD795" s="40"/>
      <c r="AE795" s="41"/>
      <c r="AF795" s="42"/>
      <c r="AI795" s="49"/>
      <c r="AJ795" s="42"/>
      <c r="AK795" s="42"/>
    </row>
    <row r="796" spans="25:37" ht="12.75" x14ac:dyDescent="0.35">
      <c r="Y796" s="39"/>
      <c r="Z796" s="39"/>
      <c r="AA796" s="39"/>
      <c r="AB796" s="39"/>
      <c r="AD796" s="40"/>
      <c r="AE796" s="41"/>
      <c r="AF796" s="42"/>
      <c r="AI796" s="49"/>
      <c r="AJ796" s="42"/>
      <c r="AK796" s="42"/>
    </row>
    <row r="797" spans="25:37" ht="12.75" x14ac:dyDescent="0.35">
      <c r="Y797" s="39"/>
      <c r="Z797" s="39"/>
      <c r="AA797" s="39"/>
      <c r="AB797" s="39"/>
      <c r="AD797" s="40"/>
      <c r="AE797" s="41"/>
      <c r="AF797" s="42"/>
      <c r="AI797" s="49"/>
      <c r="AJ797" s="42"/>
      <c r="AK797" s="42"/>
    </row>
    <row r="798" spans="25:37" ht="12.75" x14ac:dyDescent="0.35">
      <c r="Y798" s="39"/>
      <c r="Z798" s="39"/>
      <c r="AA798" s="39"/>
      <c r="AB798" s="39"/>
      <c r="AD798" s="40"/>
      <c r="AE798" s="41"/>
      <c r="AF798" s="42"/>
      <c r="AI798" s="49"/>
      <c r="AJ798" s="42"/>
      <c r="AK798" s="42"/>
    </row>
    <row r="799" spans="25:37" ht="12.75" x14ac:dyDescent="0.35">
      <c r="Y799" s="39"/>
      <c r="Z799" s="39"/>
      <c r="AA799" s="39"/>
      <c r="AB799" s="39"/>
      <c r="AD799" s="40"/>
      <c r="AE799" s="41"/>
      <c r="AF799" s="42"/>
      <c r="AI799" s="49"/>
      <c r="AJ799" s="42"/>
      <c r="AK799" s="42"/>
    </row>
    <row r="800" spans="25:37" ht="12.75" x14ac:dyDescent="0.35">
      <c r="Y800" s="39"/>
      <c r="Z800" s="39"/>
      <c r="AA800" s="39"/>
      <c r="AB800" s="39"/>
      <c r="AD800" s="40"/>
      <c r="AE800" s="41"/>
      <c r="AF800" s="42"/>
      <c r="AI800" s="49"/>
      <c r="AJ800" s="42"/>
      <c r="AK800" s="42"/>
    </row>
    <row r="801" spans="25:37" ht="12.75" x14ac:dyDescent="0.35">
      <c r="Y801" s="39"/>
      <c r="Z801" s="39"/>
      <c r="AA801" s="39"/>
      <c r="AB801" s="39"/>
      <c r="AD801" s="40"/>
      <c r="AE801" s="41"/>
      <c r="AF801" s="42"/>
      <c r="AI801" s="49"/>
      <c r="AJ801" s="42"/>
      <c r="AK801" s="42"/>
    </row>
    <row r="802" spans="25:37" ht="12.75" x14ac:dyDescent="0.35">
      <c r="Y802" s="39"/>
      <c r="Z802" s="39"/>
      <c r="AA802" s="39"/>
      <c r="AB802" s="39"/>
      <c r="AD802" s="40"/>
      <c r="AE802" s="41"/>
      <c r="AF802" s="42"/>
      <c r="AI802" s="49"/>
      <c r="AJ802" s="42"/>
      <c r="AK802" s="42"/>
    </row>
    <row r="803" spans="25:37" ht="12.75" x14ac:dyDescent="0.35">
      <c r="Y803" s="39"/>
      <c r="Z803" s="39"/>
      <c r="AA803" s="39"/>
      <c r="AB803" s="39"/>
      <c r="AD803" s="40"/>
      <c r="AE803" s="41"/>
      <c r="AF803" s="42"/>
      <c r="AI803" s="49"/>
      <c r="AJ803" s="42"/>
      <c r="AK803" s="42"/>
    </row>
    <row r="804" spans="25:37" ht="12.75" x14ac:dyDescent="0.35">
      <c r="Y804" s="39"/>
      <c r="Z804" s="39"/>
      <c r="AA804" s="39"/>
      <c r="AB804" s="39"/>
      <c r="AD804" s="40"/>
      <c r="AE804" s="41"/>
      <c r="AF804" s="42"/>
      <c r="AI804" s="49"/>
      <c r="AJ804" s="42"/>
      <c r="AK804" s="42"/>
    </row>
    <row r="805" spans="25:37" ht="12.75" x14ac:dyDescent="0.35">
      <c r="Y805" s="39"/>
      <c r="Z805" s="39"/>
      <c r="AA805" s="39"/>
      <c r="AB805" s="39"/>
      <c r="AD805" s="40"/>
      <c r="AE805" s="41"/>
      <c r="AF805" s="42"/>
      <c r="AI805" s="49"/>
      <c r="AJ805" s="42"/>
      <c r="AK805" s="42"/>
    </row>
    <row r="806" spans="25:37" ht="12.75" x14ac:dyDescent="0.35">
      <c r="Y806" s="39"/>
      <c r="Z806" s="39"/>
      <c r="AA806" s="39"/>
      <c r="AB806" s="39"/>
      <c r="AD806" s="40"/>
      <c r="AE806" s="41"/>
      <c r="AF806" s="42"/>
      <c r="AI806" s="49"/>
      <c r="AJ806" s="42"/>
      <c r="AK806" s="42"/>
    </row>
    <row r="807" spans="25:37" ht="12.75" x14ac:dyDescent="0.35">
      <c r="Y807" s="39"/>
      <c r="Z807" s="39"/>
      <c r="AA807" s="39"/>
      <c r="AB807" s="39"/>
      <c r="AD807" s="40"/>
      <c r="AE807" s="41"/>
      <c r="AF807" s="42"/>
      <c r="AI807" s="49"/>
      <c r="AJ807" s="42"/>
      <c r="AK807" s="42"/>
    </row>
    <row r="808" spans="25:37" ht="12.75" x14ac:dyDescent="0.35">
      <c r="Y808" s="39"/>
      <c r="Z808" s="39"/>
      <c r="AA808" s="39"/>
      <c r="AB808" s="39"/>
      <c r="AD808" s="40"/>
      <c r="AE808" s="41"/>
      <c r="AF808" s="42"/>
      <c r="AI808" s="49"/>
      <c r="AJ808" s="42"/>
      <c r="AK808" s="42"/>
    </row>
    <row r="809" spans="25:37" ht="12.75" x14ac:dyDescent="0.35">
      <c r="Y809" s="39"/>
      <c r="Z809" s="39"/>
      <c r="AA809" s="39"/>
      <c r="AB809" s="39"/>
      <c r="AD809" s="40"/>
      <c r="AE809" s="41"/>
      <c r="AF809" s="42"/>
      <c r="AI809" s="49"/>
      <c r="AJ809" s="42"/>
      <c r="AK809" s="42"/>
    </row>
    <row r="810" spans="25:37" ht="12.75" x14ac:dyDescent="0.35">
      <c r="Y810" s="39"/>
      <c r="Z810" s="39"/>
      <c r="AA810" s="39"/>
      <c r="AB810" s="39"/>
      <c r="AD810" s="40"/>
      <c r="AE810" s="41"/>
      <c r="AF810" s="42"/>
      <c r="AI810" s="49"/>
      <c r="AJ810" s="42"/>
      <c r="AK810" s="42"/>
    </row>
    <row r="811" spans="25:37" ht="12.75" x14ac:dyDescent="0.35">
      <c r="Y811" s="39"/>
      <c r="Z811" s="39"/>
      <c r="AA811" s="39"/>
      <c r="AB811" s="39"/>
      <c r="AD811" s="40"/>
      <c r="AE811" s="41"/>
      <c r="AF811" s="42"/>
      <c r="AI811" s="49"/>
      <c r="AJ811" s="42"/>
      <c r="AK811" s="42"/>
    </row>
    <row r="812" spans="25:37" ht="12.75" x14ac:dyDescent="0.35">
      <c r="Y812" s="39"/>
      <c r="Z812" s="39"/>
      <c r="AA812" s="39"/>
      <c r="AB812" s="39"/>
      <c r="AD812" s="40"/>
      <c r="AE812" s="41"/>
      <c r="AF812" s="42"/>
      <c r="AI812" s="49"/>
      <c r="AJ812" s="42"/>
      <c r="AK812" s="42"/>
    </row>
    <row r="813" spans="25:37" ht="12.75" x14ac:dyDescent="0.35">
      <c r="Y813" s="39"/>
      <c r="Z813" s="39"/>
      <c r="AA813" s="39"/>
      <c r="AB813" s="39"/>
      <c r="AD813" s="40"/>
      <c r="AE813" s="41"/>
      <c r="AF813" s="42"/>
      <c r="AI813" s="49"/>
      <c r="AJ813" s="42"/>
      <c r="AK813" s="42"/>
    </row>
    <row r="814" spans="25:37" ht="12.75" x14ac:dyDescent="0.35">
      <c r="Y814" s="39"/>
      <c r="Z814" s="39"/>
      <c r="AA814" s="39"/>
      <c r="AB814" s="39"/>
      <c r="AD814" s="40"/>
      <c r="AE814" s="41"/>
      <c r="AF814" s="42"/>
      <c r="AI814" s="49"/>
      <c r="AJ814" s="42"/>
      <c r="AK814" s="42"/>
    </row>
    <row r="815" spans="25:37" ht="12.75" x14ac:dyDescent="0.35">
      <c r="Y815" s="39"/>
      <c r="Z815" s="39"/>
      <c r="AA815" s="39"/>
      <c r="AB815" s="39"/>
      <c r="AD815" s="40"/>
      <c r="AE815" s="41"/>
      <c r="AF815" s="42"/>
      <c r="AI815" s="49"/>
      <c r="AJ815" s="42"/>
      <c r="AK815" s="42"/>
    </row>
    <row r="816" spans="25:37" ht="12.75" x14ac:dyDescent="0.35">
      <c r="Y816" s="39"/>
      <c r="Z816" s="39"/>
      <c r="AA816" s="39"/>
      <c r="AB816" s="39"/>
      <c r="AD816" s="40"/>
      <c r="AE816" s="41"/>
      <c r="AF816" s="42"/>
      <c r="AI816" s="49"/>
      <c r="AJ816" s="42"/>
      <c r="AK816" s="42"/>
    </row>
    <row r="817" spans="25:37" ht="12.75" x14ac:dyDescent="0.35">
      <c r="Y817" s="39"/>
      <c r="Z817" s="39"/>
      <c r="AA817" s="39"/>
      <c r="AB817" s="39"/>
      <c r="AD817" s="40"/>
      <c r="AE817" s="41"/>
      <c r="AF817" s="42"/>
      <c r="AI817" s="49"/>
      <c r="AJ817" s="42"/>
      <c r="AK817" s="42"/>
    </row>
    <row r="818" spans="25:37" ht="12.75" x14ac:dyDescent="0.35">
      <c r="Y818" s="39"/>
      <c r="Z818" s="39"/>
      <c r="AA818" s="39"/>
      <c r="AB818" s="39"/>
      <c r="AD818" s="40"/>
      <c r="AE818" s="41"/>
      <c r="AF818" s="42"/>
      <c r="AI818" s="49"/>
      <c r="AJ818" s="42"/>
      <c r="AK818" s="42"/>
    </row>
    <row r="819" spans="25:37" ht="12.75" x14ac:dyDescent="0.35">
      <c r="Y819" s="39"/>
      <c r="Z819" s="39"/>
      <c r="AA819" s="39"/>
      <c r="AB819" s="39"/>
      <c r="AD819" s="40"/>
      <c r="AE819" s="41"/>
      <c r="AF819" s="42"/>
      <c r="AI819" s="49"/>
      <c r="AJ819" s="42"/>
      <c r="AK819" s="42"/>
    </row>
    <row r="820" spans="25:37" ht="12.75" x14ac:dyDescent="0.35">
      <c r="Y820" s="39"/>
      <c r="Z820" s="39"/>
      <c r="AA820" s="39"/>
      <c r="AB820" s="39"/>
      <c r="AD820" s="40"/>
      <c r="AE820" s="41"/>
      <c r="AF820" s="42"/>
      <c r="AI820" s="49"/>
      <c r="AJ820" s="42"/>
      <c r="AK820" s="42"/>
    </row>
    <row r="821" spans="25:37" ht="12.75" x14ac:dyDescent="0.35">
      <c r="Y821" s="39"/>
      <c r="Z821" s="39"/>
      <c r="AA821" s="39"/>
      <c r="AB821" s="39"/>
      <c r="AD821" s="40"/>
      <c r="AE821" s="41"/>
      <c r="AF821" s="42"/>
      <c r="AI821" s="49"/>
      <c r="AJ821" s="42"/>
      <c r="AK821" s="42"/>
    </row>
    <row r="822" spans="25:37" ht="12.75" x14ac:dyDescent="0.35">
      <c r="Y822" s="39"/>
      <c r="Z822" s="39"/>
      <c r="AA822" s="39"/>
      <c r="AB822" s="39"/>
      <c r="AD822" s="40"/>
      <c r="AE822" s="41"/>
      <c r="AF822" s="42"/>
      <c r="AI822" s="49"/>
      <c r="AJ822" s="42"/>
      <c r="AK822" s="42"/>
    </row>
    <row r="823" spans="25:37" ht="12.75" x14ac:dyDescent="0.35">
      <c r="Y823" s="39"/>
      <c r="Z823" s="39"/>
      <c r="AA823" s="39"/>
      <c r="AB823" s="39"/>
      <c r="AD823" s="40"/>
      <c r="AE823" s="41"/>
      <c r="AF823" s="42"/>
      <c r="AI823" s="49"/>
      <c r="AJ823" s="42"/>
      <c r="AK823" s="42"/>
    </row>
    <row r="824" spans="25:37" ht="12.75" x14ac:dyDescent="0.35">
      <c r="Y824" s="39"/>
      <c r="Z824" s="39"/>
      <c r="AA824" s="39"/>
      <c r="AB824" s="39"/>
      <c r="AD824" s="40"/>
      <c r="AE824" s="41"/>
      <c r="AF824" s="42"/>
      <c r="AI824" s="49"/>
      <c r="AJ824" s="42"/>
      <c r="AK824" s="42"/>
    </row>
    <row r="825" spans="25:37" ht="12.75" x14ac:dyDescent="0.35">
      <c r="Y825" s="39"/>
      <c r="Z825" s="39"/>
      <c r="AA825" s="39"/>
      <c r="AB825" s="39"/>
      <c r="AD825" s="40"/>
      <c r="AE825" s="41"/>
      <c r="AF825" s="42"/>
      <c r="AI825" s="49"/>
      <c r="AJ825" s="42"/>
      <c r="AK825" s="42"/>
    </row>
    <row r="826" spans="25:37" ht="12.75" x14ac:dyDescent="0.35">
      <c r="Y826" s="39"/>
      <c r="Z826" s="39"/>
      <c r="AA826" s="39"/>
      <c r="AB826" s="39"/>
      <c r="AD826" s="40"/>
      <c r="AE826" s="41"/>
      <c r="AF826" s="42"/>
      <c r="AI826" s="49"/>
      <c r="AJ826" s="42"/>
      <c r="AK826" s="42"/>
    </row>
    <row r="827" spans="25:37" ht="12.75" x14ac:dyDescent="0.35">
      <c r="Y827" s="39"/>
      <c r="Z827" s="39"/>
      <c r="AA827" s="39"/>
      <c r="AB827" s="39"/>
      <c r="AD827" s="40"/>
      <c r="AE827" s="41"/>
      <c r="AF827" s="42"/>
      <c r="AI827" s="49"/>
      <c r="AJ827" s="42"/>
      <c r="AK827" s="42"/>
    </row>
    <row r="828" spans="25:37" ht="12.75" x14ac:dyDescent="0.35">
      <c r="Y828" s="39"/>
      <c r="Z828" s="39"/>
      <c r="AA828" s="39"/>
      <c r="AB828" s="39"/>
      <c r="AD828" s="40"/>
      <c r="AE828" s="41"/>
      <c r="AF828" s="42"/>
      <c r="AI828" s="49"/>
      <c r="AJ828" s="42"/>
      <c r="AK828" s="42"/>
    </row>
    <row r="829" spans="25:37" ht="12.75" x14ac:dyDescent="0.35">
      <c r="Y829" s="39"/>
      <c r="Z829" s="39"/>
      <c r="AA829" s="39"/>
      <c r="AB829" s="39"/>
      <c r="AD829" s="40"/>
      <c r="AE829" s="41"/>
      <c r="AF829" s="42"/>
      <c r="AI829" s="49"/>
      <c r="AJ829" s="42"/>
      <c r="AK829" s="42"/>
    </row>
    <row r="830" spans="25:37" ht="12.75" x14ac:dyDescent="0.35">
      <c r="Y830" s="39"/>
      <c r="Z830" s="39"/>
      <c r="AA830" s="39"/>
      <c r="AB830" s="39"/>
      <c r="AD830" s="40"/>
      <c r="AE830" s="41"/>
      <c r="AF830" s="42"/>
      <c r="AI830" s="49"/>
      <c r="AJ830" s="42"/>
      <c r="AK830" s="42"/>
    </row>
    <row r="831" spans="25:37" ht="12.75" x14ac:dyDescent="0.35">
      <c r="Y831" s="39"/>
      <c r="Z831" s="39"/>
      <c r="AA831" s="39"/>
      <c r="AB831" s="39"/>
      <c r="AD831" s="40"/>
      <c r="AE831" s="41"/>
      <c r="AF831" s="42"/>
      <c r="AI831" s="49"/>
      <c r="AJ831" s="42"/>
      <c r="AK831" s="42"/>
    </row>
    <row r="832" spans="25:37" ht="12.75" x14ac:dyDescent="0.35">
      <c r="Y832" s="39"/>
      <c r="Z832" s="39"/>
      <c r="AA832" s="39"/>
      <c r="AB832" s="39"/>
      <c r="AD832" s="40"/>
      <c r="AE832" s="41"/>
      <c r="AF832" s="42"/>
      <c r="AI832" s="49"/>
      <c r="AJ832" s="42"/>
      <c r="AK832" s="42"/>
    </row>
    <row r="833" spans="25:37" ht="12.75" x14ac:dyDescent="0.35">
      <c r="Y833" s="39"/>
      <c r="Z833" s="39"/>
      <c r="AA833" s="39"/>
      <c r="AB833" s="39"/>
      <c r="AD833" s="40"/>
      <c r="AE833" s="41"/>
      <c r="AF833" s="42"/>
      <c r="AI833" s="49"/>
      <c r="AJ833" s="42"/>
      <c r="AK833" s="42"/>
    </row>
    <row r="834" spans="25:37" ht="12.75" x14ac:dyDescent="0.35">
      <c r="Y834" s="39"/>
      <c r="Z834" s="39"/>
      <c r="AA834" s="39"/>
      <c r="AB834" s="39"/>
      <c r="AD834" s="40"/>
      <c r="AE834" s="41"/>
      <c r="AF834" s="42"/>
      <c r="AI834" s="49"/>
      <c r="AJ834" s="42"/>
      <c r="AK834" s="42"/>
    </row>
    <row r="835" spans="25:37" ht="12.75" x14ac:dyDescent="0.35">
      <c r="Y835" s="39"/>
      <c r="Z835" s="39"/>
      <c r="AA835" s="39"/>
      <c r="AB835" s="39"/>
      <c r="AD835" s="40"/>
      <c r="AE835" s="41"/>
      <c r="AF835" s="42"/>
      <c r="AI835" s="49"/>
      <c r="AJ835" s="42"/>
      <c r="AK835" s="42"/>
    </row>
    <row r="836" spans="25:37" ht="12.75" x14ac:dyDescent="0.35">
      <c r="Y836" s="39"/>
      <c r="Z836" s="39"/>
      <c r="AA836" s="39"/>
      <c r="AB836" s="39"/>
      <c r="AD836" s="40"/>
      <c r="AE836" s="41"/>
      <c r="AF836" s="42"/>
      <c r="AI836" s="49"/>
      <c r="AJ836" s="42"/>
      <c r="AK836" s="42"/>
    </row>
    <row r="837" spans="25:37" ht="12.75" x14ac:dyDescent="0.35">
      <c r="Y837" s="39"/>
      <c r="Z837" s="39"/>
      <c r="AA837" s="39"/>
      <c r="AB837" s="39"/>
      <c r="AD837" s="40"/>
      <c r="AE837" s="41"/>
      <c r="AF837" s="42"/>
      <c r="AI837" s="49"/>
      <c r="AJ837" s="42"/>
      <c r="AK837" s="42"/>
    </row>
    <row r="838" spans="25:37" ht="12.75" x14ac:dyDescent="0.35">
      <c r="Y838" s="39"/>
      <c r="Z838" s="39"/>
      <c r="AA838" s="39"/>
      <c r="AB838" s="39"/>
      <c r="AD838" s="40"/>
      <c r="AE838" s="41"/>
      <c r="AF838" s="42"/>
      <c r="AI838" s="49"/>
      <c r="AJ838" s="42"/>
      <c r="AK838" s="42"/>
    </row>
    <row r="839" spans="25:37" ht="12.75" x14ac:dyDescent="0.35">
      <c r="Y839" s="39"/>
      <c r="Z839" s="39"/>
      <c r="AA839" s="39"/>
      <c r="AB839" s="39"/>
      <c r="AD839" s="40"/>
      <c r="AE839" s="41"/>
      <c r="AF839" s="42"/>
      <c r="AI839" s="49"/>
      <c r="AJ839" s="42"/>
      <c r="AK839" s="42"/>
    </row>
    <row r="840" spans="25:37" ht="12.75" x14ac:dyDescent="0.35">
      <c r="Y840" s="39"/>
      <c r="Z840" s="39"/>
      <c r="AA840" s="39"/>
      <c r="AB840" s="39"/>
      <c r="AD840" s="40"/>
      <c r="AE840" s="41"/>
      <c r="AF840" s="42"/>
      <c r="AI840" s="49"/>
      <c r="AJ840" s="42"/>
      <c r="AK840" s="42"/>
    </row>
    <row r="841" spans="25:37" ht="12.75" x14ac:dyDescent="0.35">
      <c r="Y841" s="39"/>
      <c r="Z841" s="39"/>
      <c r="AA841" s="39"/>
      <c r="AB841" s="39"/>
      <c r="AD841" s="40"/>
      <c r="AE841" s="41"/>
      <c r="AF841" s="42"/>
      <c r="AI841" s="49"/>
      <c r="AJ841" s="42"/>
      <c r="AK841" s="42"/>
    </row>
    <row r="842" spans="25:37" ht="12.75" x14ac:dyDescent="0.35">
      <c r="Y842" s="39"/>
      <c r="Z842" s="39"/>
      <c r="AA842" s="39"/>
      <c r="AB842" s="39"/>
      <c r="AD842" s="40"/>
      <c r="AE842" s="41"/>
      <c r="AF842" s="42"/>
      <c r="AI842" s="49"/>
      <c r="AJ842" s="42"/>
      <c r="AK842" s="42"/>
    </row>
    <row r="843" spans="25:37" ht="12.75" x14ac:dyDescent="0.35">
      <c r="Y843" s="39"/>
      <c r="Z843" s="39"/>
      <c r="AA843" s="39"/>
      <c r="AB843" s="39"/>
      <c r="AD843" s="40"/>
      <c r="AE843" s="41"/>
      <c r="AF843" s="42"/>
      <c r="AI843" s="49"/>
      <c r="AJ843" s="42"/>
      <c r="AK843" s="42"/>
    </row>
    <row r="844" spans="25:37" ht="12.75" x14ac:dyDescent="0.35">
      <c r="Y844" s="39"/>
      <c r="Z844" s="39"/>
      <c r="AA844" s="39"/>
      <c r="AB844" s="39"/>
      <c r="AD844" s="40"/>
      <c r="AE844" s="41"/>
      <c r="AF844" s="42"/>
      <c r="AI844" s="49"/>
      <c r="AJ844" s="42"/>
      <c r="AK844" s="42"/>
    </row>
    <row r="845" spans="25:37" ht="12.75" x14ac:dyDescent="0.35">
      <c r="Y845" s="39"/>
      <c r="Z845" s="39"/>
      <c r="AA845" s="39"/>
      <c r="AB845" s="39"/>
      <c r="AD845" s="40"/>
      <c r="AE845" s="41"/>
      <c r="AF845" s="42"/>
      <c r="AI845" s="49"/>
      <c r="AJ845" s="42"/>
      <c r="AK845" s="42"/>
    </row>
    <row r="846" spans="25:37" ht="12.75" x14ac:dyDescent="0.35">
      <c r="Y846" s="39"/>
      <c r="Z846" s="39"/>
      <c r="AA846" s="39"/>
      <c r="AB846" s="39"/>
      <c r="AD846" s="40"/>
      <c r="AE846" s="41"/>
      <c r="AF846" s="42"/>
      <c r="AI846" s="49"/>
      <c r="AJ846" s="42"/>
      <c r="AK846" s="42"/>
    </row>
    <row r="847" spans="25:37" ht="12.75" x14ac:dyDescent="0.35">
      <c r="Y847" s="39"/>
      <c r="Z847" s="39"/>
      <c r="AA847" s="39"/>
      <c r="AB847" s="39"/>
      <c r="AD847" s="40"/>
      <c r="AE847" s="41"/>
      <c r="AF847" s="42"/>
      <c r="AI847" s="49"/>
      <c r="AJ847" s="42"/>
      <c r="AK847" s="42"/>
    </row>
    <row r="848" spans="25:37" ht="12.75" x14ac:dyDescent="0.35">
      <c r="Y848" s="39"/>
      <c r="Z848" s="39"/>
      <c r="AA848" s="39"/>
      <c r="AB848" s="39"/>
      <c r="AD848" s="40"/>
      <c r="AE848" s="41"/>
      <c r="AF848" s="42"/>
      <c r="AI848" s="49"/>
      <c r="AJ848" s="42"/>
      <c r="AK848" s="42"/>
    </row>
    <row r="849" spans="25:37" ht="12.75" x14ac:dyDescent="0.35">
      <c r="Y849" s="39"/>
      <c r="Z849" s="39"/>
      <c r="AA849" s="39"/>
      <c r="AB849" s="39"/>
      <c r="AD849" s="40"/>
      <c r="AE849" s="41"/>
      <c r="AF849" s="42"/>
      <c r="AI849" s="49"/>
      <c r="AJ849" s="42"/>
      <c r="AK849" s="42"/>
    </row>
    <row r="850" spans="25:37" ht="12.75" x14ac:dyDescent="0.35">
      <c r="Y850" s="39"/>
      <c r="Z850" s="39"/>
      <c r="AA850" s="39"/>
      <c r="AB850" s="39"/>
      <c r="AD850" s="40"/>
      <c r="AE850" s="41"/>
      <c r="AF850" s="42"/>
      <c r="AI850" s="49"/>
      <c r="AJ850" s="42"/>
      <c r="AK850" s="42"/>
    </row>
    <row r="851" spans="25:37" ht="12.75" x14ac:dyDescent="0.35">
      <c r="Y851" s="39"/>
      <c r="Z851" s="39"/>
      <c r="AA851" s="39"/>
      <c r="AB851" s="39"/>
      <c r="AD851" s="40"/>
      <c r="AE851" s="41"/>
      <c r="AF851" s="42"/>
      <c r="AI851" s="49"/>
      <c r="AJ851" s="42"/>
      <c r="AK851" s="42"/>
    </row>
    <row r="852" spans="25:37" ht="12.75" x14ac:dyDescent="0.35">
      <c r="Y852" s="39"/>
      <c r="Z852" s="39"/>
      <c r="AA852" s="39"/>
      <c r="AB852" s="39"/>
      <c r="AD852" s="40"/>
      <c r="AE852" s="41"/>
      <c r="AF852" s="42"/>
      <c r="AI852" s="49"/>
      <c r="AJ852" s="42"/>
      <c r="AK852" s="42"/>
    </row>
    <row r="853" spans="25:37" ht="12.75" x14ac:dyDescent="0.35">
      <c r="Y853" s="39"/>
      <c r="Z853" s="39"/>
      <c r="AA853" s="39"/>
      <c r="AB853" s="39"/>
      <c r="AD853" s="40"/>
      <c r="AE853" s="41"/>
      <c r="AF853" s="42"/>
      <c r="AI853" s="49"/>
      <c r="AJ853" s="42"/>
      <c r="AK853" s="42"/>
    </row>
    <row r="854" spans="25:37" ht="12.75" x14ac:dyDescent="0.35">
      <c r="Y854" s="39"/>
      <c r="Z854" s="39"/>
      <c r="AA854" s="39"/>
      <c r="AB854" s="39"/>
      <c r="AD854" s="40"/>
      <c r="AE854" s="41"/>
      <c r="AF854" s="42"/>
      <c r="AI854" s="49"/>
      <c r="AJ854" s="42"/>
      <c r="AK854" s="42"/>
    </row>
    <row r="855" spans="25:37" ht="12.75" x14ac:dyDescent="0.35">
      <c r="Y855" s="39"/>
      <c r="Z855" s="39"/>
      <c r="AA855" s="39"/>
      <c r="AB855" s="39"/>
      <c r="AD855" s="40"/>
      <c r="AE855" s="41"/>
      <c r="AF855" s="42"/>
      <c r="AI855" s="49"/>
      <c r="AJ855" s="42"/>
      <c r="AK855" s="42"/>
    </row>
    <row r="856" spans="25:37" ht="12.75" x14ac:dyDescent="0.35">
      <c r="Y856" s="39"/>
      <c r="Z856" s="39"/>
      <c r="AA856" s="39"/>
      <c r="AB856" s="39"/>
      <c r="AD856" s="40"/>
      <c r="AE856" s="41"/>
      <c r="AF856" s="42"/>
      <c r="AI856" s="49"/>
      <c r="AJ856" s="42"/>
      <c r="AK856" s="42"/>
    </row>
    <row r="857" spans="25:37" ht="12.75" x14ac:dyDescent="0.35">
      <c r="Y857" s="39"/>
      <c r="Z857" s="39"/>
      <c r="AA857" s="39"/>
      <c r="AB857" s="39"/>
      <c r="AD857" s="40"/>
      <c r="AE857" s="41"/>
      <c r="AF857" s="42"/>
      <c r="AI857" s="49"/>
      <c r="AJ857" s="42"/>
      <c r="AK857" s="42"/>
    </row>
    <row r="858" spans="25:37" ht="12.75" x14ac:dyDescent="0.35">
      <c r="Y858" s="39"/>
      <c r="Z858" s="39"/>
      <c r="AA858" s="39"/>
      <c r="AB858" s="39"/>
      <c r="AD858" s="40"/>
      <c r="AE858" s="41"/>
      <c r="AF858" s="42"/>
      <c r="AI858" s="49"/>
      <c r="AJ858" s="42"/>
      <c r="AK858" s="42"/>
    </row>
    <row r="859" spans="25:37" ht="12.75" x14ac:dyDescent="0.35">
      <c r="Y859" s="39"/>
      <c r="Z859" s="39"/>
      <c r="AA859" s="39"/>
      <c r="AB859" s="39"/>
      <c r="AD859" s="40"/>
      <c r="AE859" s="41"/>
      <c r="AF859" s="42"/>
      <c r="AI859" s="49"/>
      <c r="AJ859" s="42"/>
      <c r="AK859" s="42"/>
    </row>
    <row r="860" spans="25:37" ht="12.75" x14ac:dyDescent="0.35">
      <c r="Y860" s="39"/>
      <c r="Z860" s="39"/>
      <c r="AA860" s="39"/>
      <c r="AB860" s="39"/>
      <c r="AD860" s="40"/>
      <c r="AE860" s="41"/>
      <c r="AF860" s="42"/>
      <c r="AI860" s="49"/>
      <c r="AJ860" s="42"/>
      <c r="AK860" s="42"/>
    </row>
    <row r="861" spans="25:37" ht="12.75" x14ac:dyDescent="0.35">
      <c r="Y861" s="39"/>
      <c r="Z861" s="39"/>
      <c r="AA861" s="39"/>
      <c r="AB861" s="39"/>
      <c r="AD861" s="40"/>
      <c r="AE861" s="41"/>
      <c r="AF861" s="42"/>
      <c r="AI861" s="49"/>
      <c r="AJ861" s="42"/>
      <c r="AK861" s="42"/>
    </row>
    <row r="862" spans="25:37" ht="12.75" x14ac:dyDescent="0.35">
      <c r="Y862" s="39"/>
      <c r="Z862" s="39"/>
      <c r="AA862" s="39"/>
      <c r="AB862" s="39"/>
      <c r="AD862" s="40"/>
      <c r="AE862" s="41"/>
      <c r="AF862" s="42"/>
      <c r="AI862" s="49"/>
      <c r="AJ862" s="42"/>
      <c r="AK862" s="42"/>
    </row>
    <row r="863" spans="25:37" ht="12.75" x14ac:dyDescent="0.35">
      <c r="Y863" s="39"/>
      <c r="Z863" s="39"/>
      <c r="AA863" s="39"/>
      <c r="AB863" s="39"/>
      <c r="AD863" s="40"/>
      <c r="AE863" s="41"/>
      <c r="AF863" s="42"/>
      <c r="AI863" s="49"/>
      <c r="AJ863" s="42"/>
      <c r="AK863" s="42"/>
    </row>
    <row r="864" spans="25:37" ht="12.75" x14ac:dyDescent="0.35">
      <c r="Y864" s="39"/>
      <c r="Z864" s="39"/>
      <c r="AA864" s="39"/>
      <c r="AB864" s="39"/>
      <c r="AD864" s="40"/>
      <c r="AE864" s="41"/>
      <c r="AF864" s="42"/>
      <c r="AI864" s="49"/>
      <c r="AJ864" s="42"/>
      <c r="AK864" s="42"/>
    </row>
    <row r="865" spans="25:37" ht="12.75" x14ac:dyDescent="0.35">
      <c r="Y865" s="39"/>
      <c r="Z865" s="39"/>
      <c r="AA865" s="39"/>
      <c r="AB865" s="39"/>
      <c r="AD865" s="40"/>
      <c r="AE865" s="41"/>
      <c r="AF865" s="42"/>
      <c r="AI865" s="49"/>
      <c r="AJ865" s="42"/>
      <c r="AK865" s="42"/>
    </row>
    <row r="866" spans="25:37" ht="12.75" x14ac:dyDescent="0.35">
      <c r="Y866" s="39"/>
      <c r="Z866" s="39"/>
      <c r="AA866" s="39"/>
      <c r="AB866" s="39"/>
      <c r="AD866" s="40"/>
      <c r="AE866" s="41"/>
      <c r="AF866" s="42"/>
      <c r="AI866" s="49"/>
      <c r="AJ866" s="42"/>
      <c r="AK866" s="42"/>
    </row>
    <row r="867" spans="25:37" ht="12.75" x14ac:dyDescent="0.35">
      <c r="Y867" s="39"/>
      <c r="Z867" s="39"/>
      <c r="AA867" s="39"/>
      <c r="AB867" s="39"/>
      <c r="AD867" s="40"/>
      <c r="AE867" s="41"/>
      <c r="AF867" s="42"/>
      <c r="AI867" s="49"/>
      <c r="AJ867" s="42"/>
      <c r="AK867" s="42"/>
    </row>
    <row r="868" spans="25:37" ht="12.75" x14ac:dyDescent="0.35">
      <c r="Y868" s="39"/>
      <c r="Z868" s="39"/>
      <c r="AA868" s="39"/>
      <c r="AB868" s="39"/>
      <c r="AD868" s="40"/>
      <c r="AE868" s="41"/>
      <c r="AF868" s="42"/>
      <c r="AI868" s="49"/>
      <c r="AJ868" s="42"/>
      <c r="AK868" s="42"/>
    </row>
    <row r="869" spans="25:37" ht="12.75" x14ac:dyDescent="0.35">
      <c r="Y869" s="39"/>
      <c r="Z869" s="39"/>
      <c r="AA869" s="39"/>
      <c r="AB869" s="39"/>
      <c r="AD869" s="40"/>
      <c r="AE869" s="41"/>
      <c r="AF869" s="42"/>
      <c r="AI869" s="49"/>
      <c r="AJ869" s="42"/>
      <c r="AK869" s="42"/>
    </row>
    <row r="870" spans="25:37" ht="12.75" x14ac:dyDescent="0.35">
      <c r="Y870" s="39"/>
      <c r="Z870" s="39"/>
      <c r="AA870" s="39"/>
      <c r="AB870" s="39"/>
      <c r="AD870" s="40"/>
      <c r="AE870" s="41"/>
      <c r="AF870" s="42"/>
      <c r="AI870" s="49"/>
      <c r="AJ870" s="42"/>
      <c r="AK870" s="42"/>
    </row>
    <row r="871" spans="25:37" ht="12.75" x14ac:dyDescent="0.35">
      <c r="Y871" s="39"/>
      <c r="Z871" s="39"/>
      <c r="AA871" s="39"/>
      <c r="AB871" s="39"/>
      <c r="AD871" s="40"/>
      <c r="AE871" s="41"/>
      <c r="AF871" s="42"/>
      <c r="AI871" s="49"/>
      <c r="AJ871" s="42"/>
      <c r="AK871" s="42"/>
    </row>
    <row r="872" spans="25:37" ht="12.75" x14ac:dyDescent="0.35">
      <c r="Y872" s="39"/>
      <c r="Z872" s="39"/>
      <c r="AA872" s="39"/>
      <c r="AB872" s="39"/>
      <c r="AD872" s="40"/>
      <c r="AE872" s="41"/>
      <c r="AF872" s="42"/>
      <c r="AI872" s="49"/>
      <c r="AJ872" s="42"/>
      <c r="AK872" s="42"/>
    </row>
    <row r="873" spans="25:37" ht="12.75" x14ac:dyDescent="0.35">
      <c r="Y873" s="39"/>
      <c r="Z873" s="39"/>
      <c r="AA873" s="39"/>
      <c r="AB873" s="39"/>
      <c r="AD873" s="40"/>
      <c r="AE873" s="41"/>
      <c r="AF873" s="42"/>
      <c r="AI873" s="49"/>
      <c r="AJ873" s="42"/>
      <c r="AK873" s="42"/>
    </row>
    <row r="874" spans="25:37" ht="12.75" x14ac:dyDescent="0.35">
      <c r="Y874" s="39"/>
      <c r="Z874" s="39"/>
      <c r="AA874" s="39"/>
      <c r="AB874" s="39"/>
      <c r="AD874" s="40"/>
      <c r="AE874" s="41"/>
      <c r="AF874" s="42"/>
      <c r="AI874" s="49"/>
      <c r="AJ874" s="42"/>
      <c r="AK874" s="42"/>
    </row>
    <row r="875" spans="25:37" ht="12.75" x14ac:dyDescent="0.35">
      <c r="Y875" s="39"/>
      <c r="Z875" s="39"/>
      <c r="AA875" s="39"/>
      <c r="AB875" s="39"/>
      <c r="AD875" s="40"/>
      <c r="AE875" s="41"/>
      <c r="AF875" s="42"/>
      <c r="AI875" s="49"/>
      <c r="AJ875" s="42"/>
      <c r="AK875" s="42"/>
    </row>
    <row r="876" spans="25:37" ht="12.75" x14ac:dyDescent="0.35">
      <c r="Y876" s="39"/>
      <c r="Z876" s="39"/>
      <c r="AA876" s="39"/>
      <c r="AB876" s="39"/>
      <c r="AD876" s="40"/>
      <c r="AE876" s="41"/>
      <c r="AF876" s="42"/>
      <c r="AI876" s="49"/>
      <c r="AJ876" s="42"/>
      <c r="AK876" s="42"/>
    </row>
    <row r="877" spans="25:37" ht="12.75" x14ac:dyDescent="0.35">
      <c r="Y877" s="39"/>
      <c r="Z877" s="39"/>
      <c r="AA877" s="39"/>
      <c r="AB877" s="39"/>
      <c r="AD877" s="40"/>
      <c r="AE877" s="41"/>
      <c r="AF877" s="42"/>
      <c r="AI877" s="49"/>
      <c r="AJ877" s="42"/>
      <c r="AK877" s="42"/>
    </row>
    <row r="878" spans="25:37" ht="12.75" x14ac:dyDescent="0.35">
      <c r="Y878" s="39"/>
      <c r="Z878" s="39"/>
      <c r="AA878" s="39"/>
      <c r="AB878" s="39"/>
      <c r="AD878" s="40"/>
      <c r="AE878" s="41"/>
      <c r="AF878" s="42"/>
      <c r="AI878" s="49"/>
      <c r="AJ878" s="42"/>
      <c r="AK878" s="42"/>
    </row>
    <row r="879" spans="25:37" ht="12.75" x14ac:dyDescent="0.35">
      <c r="Y879" s="39"/>
      <c r="Z879" s="39"/>
      <c r="AA879" s="39"/>
      <c r="AB879" s="39"/>
      <c r="AD879" s="40"/>
      <c r="AE879" s="41"/>
      <c r="AF879" s="42"/>
      <c r="AI879" s="49"/>
      <c r="AJ879" s="42"/>
      <c r="AK879" s="42"/>
    </row>
    <row r="880" spans="25:37" ht="12.75" x14ac:dyDescent="0.35">
      <c r="Y880" s="39"/>
      <c r="Z880" s="39"/>
      <c r="AA880" s="39"/>
      <c r="AB880" s="39"/>
      <c r="AD880" s="40"/>
      <c r="AE880" s="41"/>
      <c r="AF880" s="42"/>
      <c r="AI880" s="49"/>
      <c r="AJ880" s="42"/>
      <c r="AK880" s="42"/>
    </row>
    <row r="881" spans="25:37" ht="12.75" x14ac:dyDescent="0.35">
      <c r="Y881" s="39"/>
      <c r="Z881" s="39"/>
      <c r="AA881" s="39"/>
      <c r="AB881" s="39"/>
      <c r="AD881" s="40"/>
      <c r="AE881" s="41"/>
      <c r="AF881" s="42"/>
      <c r="AI881" s="49"/>
      <c r="AJ881" s="42"/>
      <c r="AK881" s="42"/>
    </row>
    <row r="882" spans="25:37" ht="12.75" x14ac:dyDescent="0.35">
      <c r="Y882" s="39"/>
      <c r="Z882" s="39"/>
      <c r="AA882" s="39"/>
      <c r="AB882" s="39"/>
      <c r="AD882" s="40"/>
      <c r="AE882" s="41"/>
      <c r="AF882" s="42"/>
      <c r="AI882" s="49"/>
      <c r="AJ882" s="42"/>
      <c r="AK882" s="42"/>
    </row>
    <row r="883" spans="25:37" ht="12.75" x14ac:dyDescent="0.35">
      <c r="Y883" s="39"/>
      <c r="Z883" s="39"/>
      <c r="AA883" s="39"/>
      <c r="AB883" s="39"/>
      <c r="AD883" s="40"/>
      <c r="AE883" s="41"/>
      <c r="AF883" s="42"/>
      <c r="AI883" s="49"/>
      <c r="AJ883" s="42"/>
      <c r="AK883" s="42"/>
    </row>
    <row r="884" spans="25:37" ht="12.75" x14ac:dyDescent="0.35">
      <c r="Y884" s="39"/>
      <c r="Z884" s="39"/>
      <c r="AA884" s="39"/>
      <c r="AB884" s="39"/>
      <c r="AD884" s="40"/>
      <c r="AE884" s="41"/>
      <c r="AF884" s="42"/>
      <c r="AI884" s="49"/>
      <c r="AJ884" s="42"/>
      <c r="AK884" s="42"/>
    </row>
    <row r="885" spans="25:37" ht="12.75" x14ac:dyDescent="0.35">
      <c r="Y885" s="39"/>
      <c r="Z885" s="39"/>
      <c r="AA885" s="39"/>
      <c r="AB885" s="39"/>
      <c r="AD885" s="40"/>
      <c r="AE885" s="41"/>
      <c r="AF885" s="42"/>
      <c r="AI885" s="49"/>
      <c r="AJ885" s="42"/>
      <c r="AK885" s="42"/>
    </row>
    <row r="886" spans="25:37" ht="12.75" x14ac:dyDescent="0.35">
      <c r="Y886" s="39"/>
      <c r="Z886" s="39"/>
      <c r="AA886" s="39"/>
      <c r="AB886" s="39"/>
      <c r="AD886" s="40"/>
      <c r="AE886" s="41"/>
      <c r="AF886" s="42"/>
      <c r="AI886" s="49"/>
      <c r="AJ886" s="42"/>
      <c r="AK886" s="42"/>
    </row>
    <row r="887" spans="25:37" ht="12.75" x14ac:dyDescent="0.35">
      <c r="Y887" s="39"/>
      <c r="Z887" s="39"/>
      <c r="AA887" s="39"/>
      <c r="AB887" s="39"/>
      <c r="AD887" s="40"/>
      <c r="AE887" s="41"/>
      <c r="AF887" s="42"/>
      <c r="AI887" s="49"/>
      <c r="AJ887" s="42"/>
      <c r="AK887" s="42"/>
    </row>
    <row r="888" spans="25:37" ht="12.75" x14ac:dyDescent="0.35">
      <c r="Y888" s="39"/>
      <c r="Z888" s="39"/>
      <c r="AA888" s="39"/>
      <c r="AB888" s="39"/>
      <c r="AD888" s="40"/>
      <c r="AE888" s="41"/>
      <c r="AF888" s="42"/>
      <c r="AI888" s="49"/>
      <c r="AJ888" s="42"/>
      <c r="AK888" s="42"/>
    </row>
    <row r="889" spans="25:37" ht="12.75" x14ac:dyDescent="0.35">
      <c r="Y889" s="39"/>
      <c r="Z889" s="39"/>
      <c r="AA889" s="39"/>
      <c r="AB889" s="39"/>
      <c r="AD889" s="40"/>
      <c r="AE889" s="41"/>
      <c r="AF889" s="42"/>
      <c r="AI889" s="49"/>
      <c r="AJ889" s="42"/>
      <c r="AK889" s="42"/>
    </row>
    <row r="890" spans="25:37" ht="12.75" x14ac:dyDescent="0.35">
      <c r="Y890" s="39"/>
      <c r="Z890" s="39"/>
      <c r="AA890" s="39"/>
      <c r="AB890" s="39"/>
      <c r="AD890" s="40"/>
      <c r="AE890" s="41"/>
      <c r="AF890" s="42"/>
      <c r="AI890" s="49"/>
      <c r="AJ890" s="42"/>
      <c r="AK890" s="42"/>
    </row>
    <row r="891" spans="25:37" ht="12.75" x14ac:dyDescent="0.35">
      <c r="Y891" s="39"/>
      <c r="Z891" s="39"/>
      <c r="AA891" s="39"/>
      <c r="AB891" s="39"/>
      <c r="AD891" s="40"/>
      <c r="AE891" s="41"/>
      <c r="AF891" s="42"/>
      <c r="AI891" s="49"/>
      <c r="AJ891" s="42"/>
      <c r="AK891" s="42"/>
    </row>
    <row r="892" spans="25:37" ht="12.75" x14ac:dyDescent="0.35">
      <c r="Y892" s="39"/>
      <c r="Z892" s="39"/>
      <c r="AA892" s="39"/>
      <c r="AB892" s="39"/>
      <c r="AD892" s="40"/>
      <c r="AE892" s="41"/>
      <c r="AF892" s="42"/>
      <c r="AI892" s="49"/>
      <c r="AJ892" s="42"/>
      <c r="AK892" s="42"/>
    </row>
    <row r="893" spans="25:37" ht="12.75" x14ac:dyDescent="0.35">
      <c r="Y893" s="39"/>
      <c r="Z893" s="39"/>
      <c r="AA893" s="39"/>
      <c r="AB893" s="39"/>
      <c r="AD893" s="40"/>
      <c r="AE893" s="41"/>
      <c r="AF893" s="42"/>
      <c r="AI893" s="49"/>
      <c r="AJ893" s="42"/>
      <c r="AK893" s="42"/>
    </row>
    <row r="894" spans="25:37" ht="12.75" x14ac:dyDescent="0.35">
      <c r="Y894" s="39"/>
      <c r="Z894" s="39"/>
      <c r="AA894" s="39"/>
      <c r="AB894" s="39"/>
      <c r="AD894" s="40"/>
      <c r="AE894" s="41"/>
      <c r="AF894" s="42"/>
      <c r="AI894" s="49"/>
      <c r="AJ894" s="42"/>
      <c r="AK894" s="42"/>
    </row>
    <row r="895" spans="25:37" ht="12.75" x14ac:dyDescent="0.35">
      <c r="Y895" s="39"/>
      <c r="Z895" s="39"/>
      <c r="AA895" s="39"/>
      <c r="AB895" s="39"/>
      <c r="AD895" s="40"/>
      <c r="AE895" s="41"/>
      <c r="AF895" s="42"/>
      <c r="AI895" s="49"/>
      <c r="AJ895" s="42"/>
      <c r="AK895" s="42"/>
    </row>
    <row r="896" spans="25:37" ht="12.75" x14ac:dyDescent="0.35">
      <c r="Y896" s="39"/>
      <c r="Z896" s="39"/>
      <c r="AA896" s="39"/>
      <c r="AB896" s="39"/>
      <c r="AD896" s="40"/>
      <c r="AE896" s="41"/>
      <c r="AF896" s="42"/>
      <c r="AI896" s="49"/>
      <c r="AJ896" s="42"/>
      <c r="AK896" s="42"/>
    </row>
    <row r="897" spans="25:37" ht="12.75" x14ac:dyDescent="0.35">
      <c r="Y897" s="39"/>
      <c r="Z897" s="39"/>
      <c r="AA897" s="39"/>
      <c r="AB897" s="39"/>
      <c r="AD897" s="40"/>
      <c r="AE897" s="41"/>
      <c r="AF897" s="42"/>
      <c r="AI897" s="49"/>
      <c r="AJ897" s="42"/>
      <c r="AK897" s="42"/>
    </row>
    <row r="898" spans="25:37" ht="12.75" x14ac:dyDescent="0.35">
      <c r="Y898" s="39"/>
      <c r="Z898" s="39"/>
      <c r="AA898" s="39"/>
      <c r="AB898" s="39"/>
      <c r="AD898" s="40"/>
      <c r="AE898" s="41"/>
      <c r="AF898" s="42"/>
      <c r="AI898" s="49"/>
      <c r="AJ898" s="42"/>
      <c r="AK898" s="42"/>
    </row>
    <row r="899" spans="25:37" ht="12.75" x14ac:dyDescent="0.35">
      <c r="Y899" s="39"/>
      <c r="Z899" s="39"/>
      <c r="AA899" s="39"/>
      <c r="AB899" s="39"/>
      <c r="AD899" s="40"/>
      <c r="AE899" s="41"/>
      <c r="AF899" s="42"/>
      <c r="AI899" s="49"/>
      <c r="AJ899" s="42"/>
      <c r="AK899" s="42"/>
    </row>
    <row r="900" spans="25:37" ht="12.75" x14ac:dyDescent="0.35">
      <c r="Y900" s="39"/>
      <c r="Z900" s="39"/>
      <c r="AA900" s="39"/>
      <c r="AB900" s="39"/>
      <c r="AD900" s="40"/>
      <c r="AE900" s="41"/>
      <c r="AF900" s="42"/>
      <c r="AI900" s="49"/>
      <c r="AJ900" s="42"/>
      <c r="AK900" s="42"/>
    </row>
    <row r="901" spans="25:37" ht="12.75" x14ac:dyDescent="0.35">
      <c r="Y901" s="39"/>
      <c r="Z901" s="39"/>
      <c r="AA901" s="39"/>
      <c r="AB901" s="39"/>
      <c r="AD901" s="40"/>
      <c r="AE901" s="41"/>
      <c r="AF901" s="42"/>
      <c r="AI901" s="49"/>
      <c r="AJ901" s="42"/>
      <c r="AK901" s="42"/>
    </row>
    <row r="902" spans="25:37" ht="12.75" x14ac:dyDescent="0.35">
      <c r="Y902" s="39"/>
      <c r="Z902" s="39"/>
      <c r="AA902" s="39"/>
      <c r="AB902" s="39"/>
      <c r="AD902" s="40"/>
      <c r="AE902" s="41"/>
      <c r="AF902" s="42"/>
      <c r="AI902" s="49"/>
      <c r="AJ902" s="42"/>
      <c r="AK902" s="42"/>
    </row>
    <row r="903" spans="25:37" ht="12.75" x14ac:dyDescent="0.35">
      <c r="Y903" s="39"/>
      <c r="Z903" s="39"/>
      <c r="AA903" s="39"/>
      <c r="AB903" s="39"/>
      <c r="AD903" s="40"/>
      <c r="AE903" s="41"/>
      <c r="AF903" s="42"/>
      <c r="AI903" s="49"/>
      <c r="AJ903" s="42"/>
      <c r="AK903" s="42"/>
    </row>
    <row r="904" spans="25:37" ht="12.75" x14ac:dyDescent="0.35">
      <c r="Y904" s="39"/>
      <c r="Z904" s="39"/>
      <c r="AA904" s="39"/>
      <c r="AB904" s="39"/>
      <c r="AD904" s="40"/>
      <c r="AE904" s="41"/>
      <c r="AF904" s="42"/>
      <c r="AI904" s="49"/>
      <c r="AJ904" s="42"/>
      <c r="AK904" s="42"/>
    </row>
    <row r="905" spans="25:37" ht="12.75" x14ac:dyDescent="0.35">
      <c r="Y905" s="39"/>
      <c r="Z905" s="39"/>
      <c r="AA905" s="39"/>
      <c r="AB905" s="39"/>
      <c r="AD905" s="40"/>
      <c r="AE905" s="41"/>
      <c r="AF905" s="42"/>
      <c r="AI905" s="49"/>
      <c r="AJ905" s="42"/>
      <c r="AK905" s="42"/>
    </row>
    <row r="906" spans="25:37" ht="12.75" x14ac:dyDescent="0.35">
      <c r="Y906" s="39"/>
      <c r="Z906" s="39"/>
      <c r="AA906" s="39"/>
      <c r="AB906" s="39"/>
      <c r="AD906" s="40"/>
      <c r="AE906" s="41"/>
      <c r="AF906" s="42"/>
      <c r="AI906" s="49"/>
      <c r="AJ906" s="42"/>
      <c r="AK906" s="42"/>
    </row>
    <row r="907" spans="25:37" ht="12.75" x14ac:dyDescent="0.35">
      <c r="Y907" s="39"/>
      <c r="Z907" s="39"/>
      <c r="AA907" s="39"/>
      <c r="AB907" s="39"/>
      <c r="AD907" s="40"/>
      <c r="AE907" s="41"/>
      <c r="AF907" s="42"/>
      <c r="AI907" s="49"/>
      <c r="AJ907" s="42"/>
      <c r="AK907" s="42"/>
    </row>
    <row r="908" spans="25:37" ht="12.75" x14ac:dyDescent="0.35">
      <c r="Y908" s="39"/>
      <c r="Z908" s="39"/>
      <c r="AA908" s="39"/>
      <c r="AB908" s="39"/>
      <c r="AD908" s="40"/>
      <c r="AE908" s="41"/>
      <c r="AF908" s="42"/>
      <c r="AI908" s="49"/>
      <c r="AJ908" s="42"/>
      <c r="AK908" s="42"/>
    </row>
    <row r="909" spans="25:37" ht="12.75" x14ac:dyDescent="0.35">
      <c r="Y909" s="39"/>
      <c r="Z909" s="39"/>
      <c r="AA909" s="39"/>
      <c r="AB909" s="39"/>
      <c r="AD909" s="40"/>
      <c r="AE909" s="41"/>
      <c r="AF909" s="42"/>
      <c r="AI909" s="49"/>
      <c r="AJ909" s="42"/>
      <c r="AK909" s="42"/>
    </row>
    <row r="910" spans="25:37" ht="12.75" x14ac:dyDescent="0.35">
      <c r="Y910" s="39"/>
      <c r="Z910" s="39"/>
      <c r="AA910" s="39"/>
      <c r="AB910" s="39"/>
      <c r="AD910" s="40"/>
      <c r="AE910" s="41"/>
      <c r="AF910" s="42"/>
      <c r="AI910" s="49"/>
      <c r="AJ910" s="42"/>
      <c r="AK910" s="42"/>
    </row>
    <row r="911" spans="25:37" ht="12.75" x14ac:dyDescent="0.35">
      <c r="Y911" s="39"/>
      <c r="Z911" s="39"/>
      <c r="AA911" s="39"/>
      <c r="AB911" s="39"/>
      <c r="AD911" s="40"/>
      <c r="AE911" s="41"/>
      <c r="AF911" s="42"/>
      <c r="AI911" s="49"/>
      <c r="AJ911" s="42"/>
      <c r="AK911" s="42"/>
    </row>
    <row r="912" spans="25:37" ht="12.75" x14ac:dyDescent="0.35">
      <c r="Y912" s="39"/>
      <c r="Z912" s="39"/>
      <c r="AA912" s="39"/>
      <c r="AB912" s="39"/>
      <c r="AD912" s="40"/>
      <c r="AE912" s="41"/>
      <c r="AF912" s="42"/>
      <c r="AI912" s="49"/>
      <c r="AJ912" s="42"/>
      <c r="AK912" s="42"/>
    </row>
    <row r="913" spans="25:37" ht="12.75" x14ac:dyDescent="0.35">
      <c r="Y913" s="39"/>
      <c r="Z913" s="39"/>
      <c r="AA913" s="39"/>
      <c r="AB913" s="39"/>
      <c r="AD913" s="40"/>
      <c r="AE913" s="41"/>
      <c r="AF913" s="42"/>
      <c r="AI913" s="49"/>
      <c r="AJ913" s="42"/>
      <c r="AK913" s="42"/>
    </row>
    <row r="914" spans="25:37" ht="12.75" x14ac:dyDescent="0.35">
      <c r="Y914" s="39"/>
      <c r="Z914" s="39"/>
      <c r="AA914" s="39"/>
      <c r="AB914" s="39"/>
      <c r="AD914" s="40"/>
      <c r="AE914" s="41"/>
      <c r="AF914" s="42"/>
      <c r="AI914" s="49"/>
      <c r="AJ914" s="42"/>
      <c r="AK914" s="42"/>
    </row>
    <row r="915" spans="25:37" ht="12.75" x14ac:dyDescent="0.35">
      <c r="Y915" s="39"/>
      <c r="Z915" s="39"/>
      <c r="AA915" s="39"/>
      <c r="AB915" s="39"/>
      <c r="AD915" s="40"/>
      <c r="AE915" s="41"/>
      <c r="AF915" s="42"/>
      <c r="AI915" s="49"/>
      <c r="AJ915" s="42"/>
      <c r="AK915" s="42"/>
    </row>
    <row r="916" spans="25:37" ht="12.75" x14ac:dyDescent="0.35">
      <c r="Y916" s="39"/>
      <c r="Z916" s="39"/>
      <c r="AA916" s="39"/>
      <c r="AB916" s="39"/>
      <c r="AD916" s="40"/>
      <c r="AE916" s="41"/>
      <c r="AF916" s="42"/>
      <c r="AI916" s="49"/>
      <c r="AJ916" s="42"/>
      <c r="AK916" s="42"/>
    </row>
    <row r="917" spans="25:37" ht="12.75" x14ac:dyDescent="0.35">
      <c r="Y917" s="39"/>
      <c r="Z917" s="39"/>
      <c r="AA917" s="39"/>
      <c r="AB917" s="39"/>
      <c r="AD917" s="40"/>
      <c r="AE917" s="41"/>
      <c r="AF917" s="42"/>
      <c r="AI917" s="49"/>
      <c r="AJ917" s="42"/>
      <c r="AK917" s="42"/>
    </row>
    <row r="918" spans="25:37" ht="12.75" x14ac:dyDescent="0.35">
      <c r="Y918" s="39"/>
      <c r="Z918" s="39"/>
      <c r="AA918" s="39"/>
      <c r="AB918" s="39"/>
      <c r="AD918" s="40"/>
      <c r="AE918" s="41"/>
      <c r="AF918" s="42"/>
      <c r="AI918" s="49"/>
      <c r="AJ918" s="42"/>
      <c r="AK918" s="42"/>
    </row>
    <row r="919" spans="25:37" ht="12.75" x14ac:dyDescent="0.35">
      <c r="Y919" s="39"/>
      <c r="Z919" s="39"/>
      <c r="AA919" s="39"/>
      <c r="AB919" s="39"/>
      <c r="AD919" s="40"/>
      <c r="AE919" s="41"/>
      <c r="AF919" s="42"/>
      <c r="AI919" s="49"/>
      <c r="AJ919" s="42"/>
      <c r="AK919" s="42"/>
    </row>
    <row r="920" spans="25:37" ht="12.75" x14ac:dyDescent="0.35">
      <c r="Y920" s="39"/>
      <c r="Z920" s="39"/>
      <c r="AA920" s="39"/>
      <c r="AB920" s="39"/>
      <c r="AD920" s="40"/>
      <c r="AE920" s="41"/>
      <c r="AF920" s="42"/>
      <c r="AI920" s="49"/>
      <c r="AJ920" s="42"/>
      <c r="AK920" s="42"/>
    </row>
    <row r="921" spans="25:37" ht="12.75" x14ac:dyDescent="0.35">
      <c r="Y921" s="39"/>
      <c r="Z921" s="39"/>
      <c r="AA921" s="39"/>
      <c r="AB921" s="39"/>
      <c r="AD921" s="40"/>
      <c r="AE921" s="41"/>
      <c r="AF921" s="42"/>
      <c r="AI921" s="49"/>
      <c r="AJ921" s="42"/>
      <c r="AK921" s="42"/>
    </row>
    <row r="922" spans="25:37" ht="12.75" x14ac:dyDescent="0.35">
      <c r="Y922" s="39"/>
      <c r="Z922" s="39"/>
      <c r="AA922" s="39"/>
      <c r="AB922" s="39"/>
      <c r="AD922" s="40"/>
      <c r="AE922" s="41"/>
      <c r="AF922" s="42"/>
      <c r="AI922" s="49"/>
      <c r="AJ922" s="42"/>
      <c r="AK922" s="42"/>
    </row>
    <row r="923" spans="25:37" ht="12.75" x14ac:dyDescent="0.35">
      <c r="Y923" s="39"/>
      <c r="Z923" s="39"/>
      <c r="AA923" s="39"/>
      <c r="AB923" s="39"/>
      <c r="AD923" s="40"/>
      <c r="AE923" s="41"/>
      <c r="AF923" s="42"/>
      <c r="AI923" s="49"/>
      <c r="AJ923" s="42"/>
      <c r="AK923" s="42"/>
    </row>
    <row r="924" spans="25:37" ht="12.75" x14ac:dyDescent="0.35">
      <c r="Y924" s="39"/>
      <c r="Z924" s="39"/>
      <c r="AA924" s="39"/>
      <c r="AB924" s="39"/>
      <c r="AD924" s="40"/>
      <c r="AE924" s="41"/>
      <c r="AF924" s="42"/>
      <c r="AI924" s="49"/>
      <c r="AJ924" s="42"/>
      <c r="AK924" s="42"/>
    </row>
    <row r="925" spans="25:37" ht="12.75" x14ac:dyDescent="0.35">
      <c r="Y925" s="39"/>
      <c r="Z925" s="39"/>
      <c r="AA925" s="39"/>
      <c r="AB925" s="39"/>
      <c r="AD925" s="40"/>
      <c r="AE925" s="41"/>
      <c r="AF925" s="42"/>
      <c r="AI925" s="49"/>
      <c r="AJ925" s="42"/>
      <c r="AK925" s="42"/>
    </row>
    <row r="926" spans="25:37" ht="12.75" x14ac:dyDescent="0.35">
      <c r="Y926" s="39"/>
      <c r="Z926" s="39"/>
      <c r="AA926" s="39"/>
      <c r="AB926" s="39"/>
      <c r="AD926" s="40"/>
      <c r="AE926" s="41"/>
      <c r="AF926" s="42"/>
      <c r="AI926" s="49"/>
      <c r="AJ926" s="42"/>
      <c r="AK926" s="42"/>
    </row>
    <row r="927" spans="25:37" ht="12.75" x14ac:dyDescent="0.35">
      <c r="Y927" s="39"/>
      <c r="Z927" s="39"/>
      <c r="AA927" s="39"/>
      <c r="AB927" s="39"/>
      <c r="AD927" s="40"/>
      <c r="AE927" s="41"/>
      <c r="AF927" s="42"/>
      <c r="AI927" s="49"/>
      <c r="AJ927" s="42"/>
      <c r="AK927" s="42"/>
    </row>
    <row r="928" spans="25:37" ht="12.75" x14ac:dyDescent="0.35">
      <c r="Y928" s="39"/>
      <c r="Z928" s="39"/>
      <c r="AA928" s="39"/>
      <c r="AB928" s="39"/>
      <c r="AD928" s="40"/>
      <c r="AE928" s="41"/>
      <c r="AF928" s="42"/>
      <c r="AI928" s="49"/>
      <c r="AJ928" s="42"/>
      <c r="AK928" s="42"/>
    </row>
    <row r="929" spans="25:37" ht="12.75" x14ac:dyDescent="0.35">
      <c r="Y929" s="39"/>
      <c r="Z929" s="39"/>
      <c r="AA929" s="39"/>
      <c r="AB929" s="39"/>
      <c r="AD929" s="40"/>
      <c r="AE929" s="41"/>
      <c r="AF929" s="42"/>
      <c r="AI929" s="49"/>
      <c r="AJ929" s="42"/>
      <c r="AK929" s="42"/>
    </row>
    <row r="930" spans="25:37" ht="12.75" x14ac:dyDescent="0.35">
      <c r="Y930" s="39"/>
      <c r="Z930" s="39"/>
      <c r="AA930" s="39"/>
      <c r="AB930" s="39"/>
      <c r="AD930" s="40"/>
      <c r="AE930" s="41"/>
      <c r="AF930" s="42"/>
      <c r="AI930" s="49"/>
      <c r="AJ930" s="42"/>
      <c r="AK930" s="42"/>
    </row>
    <row r="931" spans="25:37" ht="12.75" x14ac:dyDescent="0.35">
      <c r="Y931" s="39"/>
      <c r="Z931" s="39"/>
      <c r="AA931" s="39"/>
      <c r="AB931" s="39"/>
      <c r="AD931" s="40"/>
      <c r="AE931" s="41"/>
      <c r="AF931" s="42"/>
      <c r="AI931" s="49"/>
      <c r="AJ931" s="42"/>
      <c r="AK931" s="42"/>
    </row>
    <row r="932" spans="25:37" ht="12.75" x14ac:dyDescent="0.35">
      <c r="Y932" s="39"/>
      <c r="Z932" s="39"/>
      <c r="AA932" s="39"/>
      <c r="AB932" s="39"/>
      <c r="AD932" s="40"/>
      <c r="AE932" s="41"/>
      <c r="AF932" s="42"/>
      <c r="AI932" s="49"/>
      <c r="AJ932" s="42"/>
      <c r="AK932" s="42"/>
    </row>
    <row r="933" spans="25:37" ht="12.75" x14ac:dyDescent="0.35">
      <c r="Y933" s="39"/>
      <c r="Z933" s="39"/>
      <c r="AA933" s="39"/>
      <c r="AB933" s="39"/>
      <c r="AD933" s="40"/>
      <c r="AE933" s="41"/>
      <c r="AF933" s="42"/>
      <c r="AI933" s="49"/>
      <c r="AJ933" s="42"/>
      <c r="AK933" s="42"/>
    </row>
    <row r="934" spans="25:37" ht="12.75" x14ac:dyDescent="0.35">
      <c r="Y934" s="39"/>
      <c r="Z934" s="39"/>
      <c r="AA934" s="39"/>
      <c r="AB934" s="39"/>
      <c r="AD934" s="40"/>
      <c r="AE934" s="41"/>
      <c r="AF934" s="42"/>
      <c r="AI934" s="49"/>
      <c r="AJ934" s="42"/>
      <c r="AK934" s="42"/>
    </row>
    <row r="935" spans="25:37" ht="12.75" x14ac:dyDescent="0.35">
      <c r="Y935" s="39"/>
      <c r="Z935" s="39"/>
      <c r="AA935" s="39"/>
      <c r="AB935" s="39"/>
      <c r="AD935" s="40"/>
      <c r="AE935" s="41"/>
      <c r="AF935" s="42"/>
      <c r="AI935" s="49"/>
      <c r="AJ935" s="42"/>
      <c r="AK935" s="42"/>
    </row>
    <row r="936" spans="25:37" ht="12.75" x14ac:dyDescent="0.35">
      <c r="Y936" s="39"/>
      <c r="Z936" s="39"/>
      <c r="AA936" s="39"/>
      <c r="AB936" s="39"/>
      <c r="AD936" s="40"/>
      <c r="AE936" s="41"/>
      <c r="AF936" s="42"/>
      <c r="AI936" s="49"/>
      <c r="AJ936" s="42"/>
      <c r="AK936" s="42"/>
    </row>
    <row r="937" spans="25:37" ht="12.75" x14ac:dyDescent="0.35">
      <c r="Y937" s="39"/>
      <c r="Z937" s="39"/>
      <c r="AA937" s="39"/>
      <c r="AB937" s="39"/>
      <c r="AD937" s="40"/>
      <c r="AE937" s="41"/>
      <c r="AF937" s="42"/>
      <c r="AI937" s="49"/>
      <c r="AJ937" s="42"/>
      <c r="AK937" s="42"/>
    </row>
    <row r="938" spans="25:37" ht="12.75" x14ac:dyDescent="0.35">
      <c r="Y938" s="39"/>
      <c r="Z938" s="39"/>
      <c r="AA938" s="39"/>
      <c r="AB938" s="39"/>
      <c r="AD938" s="40"/>
      <c r="AE938" s="41"/>
      <c r="AF938" s="42"/>
      <c r="AI938" s="49"/>
      <c r="AJ938" s="42"/>
      <c r="AK938" s="42"/>
    </row>
    <row r="939" spans="25:37" ht="12.75" x14ac:dyDescent="0.35">
      <c r="Y939" s="39"/>
      <c r="Z939" s="39"/>
      <c r="AA939" s="39"/>
      <c r="AB939" s="39"/>
      <c r="AD939" s="40"/>
      <c r="AE939" s="41"/>
      <c r="AF939" s="42"/>
      <c r="AI939" s="49"/>
      <c r="AJ939" s="42"/>
      <c r="AK939" s="42"/>
    </row>
    <row r="940" spans="25:37" ht="12.75" x14ac:dyDescent="0.35">
      <c r="Y940" s="39"/>
      <c r="Z940" s="39"/>
      <c r="AA940" s="39"/>
      <c r="AB940" s="39"/>
      <c r="AD940" s="40"/>
      <c r="AE940" s="41"/>
      <c r="AF940" s="42"/>
      <c r="AI940" s="49"/>
      <c r="AJ940" s="42"/>
      <c r="AK940" s="42"/>
    </row>
    <row r="941" spans="25:37" ht="12.75" x14ac:dyDescent="0.35">
      <c r="Y941" s="39"/>
      <c r="Z941" s="39"/>
      <c r="AA941" s="39"/>
      <c r="AB941" s="39"/>
      <c r="AD941" s="40"/>
      <c r="AE941" s="41"/>
      <c r="AF941" s="42"/>
      <c r="AI941" s="49"/>
      <c r="AJ941" s="42"/>
      <c r="AK941" s="42"/>
    </row>
    <row r="942" spans="25:37" ht="12.75" x14ac:dyDescent="0.35">
      <c r="Y942" s="39"/>
      <c r="Z942" s="39"/>
      <c r="AA942" s="39"/>
      <c r="AB942" s="39"/>
      <c r="AD942" s="40"/>
      <c r="AE942" s="41"/>
      <c r="AF942" s="42"/>
      <c r="AI942" s="49"/>
      <c r="AJ942" s="42"/>
      <c r="AK942" s="42"/>
    </row>
    <row r="943" spans="25:37" ht="12.75" x14ac:dyDescent="0.35">
      <c r="Y943" s="39"/>
      <c r="Z943" s="39"/>
      <c r="AA943" s="39"/>
      <c r="AB943" s="39"/>
      <c r="AD943" s="40"/>
      <c r="AE943" s="41"/>
      <c r="AF943" s="42"/>
      <c r="AI943" s="49"/>
      <c r="AJ943" s="42"/>
      <c r="AK943" s="42"/>
    </row>
    <row r="944" spans="25:37" ht="12.75" x14ac:dyDescent="0.35">
      <c r="Y944" s="39"/>
      <c r="Z944" s="39"/>
      <c r="AA944" s="39"/>
      <c r="AB944" s="39"/>
      <c r="AD944" s="40"/>
      <c r="AE944" s="41"/>
      <c r="AF944" s="42"/>
      <c r="AI944" s="49"/>
      <c r="AJ944" s="42"/>
      <c r="AK944" s="42"/>
    </row>
    <row r="945" spans="25:37" ht="12.75" x14ac:dyDescent="0.35">
      <c r="Y945" s="39"/>
      <c r="Z945" s="39"/>
      <c r="AA945" s="39"/>
      <c r="AB945" s="39"/>
      <c r="AD945" s="40"/>
      <c r="AE945" s="41"/>
      <c r="AF945" s="42"/>
      <c r="AI945" s="49"/>
      <c r="AJ945" s="42"/>
      <c r="AK945" s="42"/>
    </row>
    <row r="946" spans="25:37" ht="12.75" x14ac:dyDescent="0.35">
      <c r="Y946" s="39"/>
      <c r="Z946" s="39"/>
      <c r="AA946" s="39"/>
      <c r="AB946" s="39"/>
      <c r="AD946" s="40"/>
      <c r="AE946" s="41"/>
      <c r="AF946" s="42"/>
      <c r="AI946" s="49"/>
      <c r="AJ946" s="42"/>
      <c r="AK946" s="42"/>
    </row>
    <row r="947" spans="25:37" ht="12.75" x14ac:dyDescent="0.35">
      <c r="Y947" s="39"/>
      <c r="Z947" s="39"/>
      <c r="AA947" s="39"/>
      <c r="AB947" s="39"/>
      <c r="AD947" s="40"/>
      <c r="AE947" s="41"/>
      <c r="AF947" s="42"/>
      <c r="AI947" s="49"/>
      <c r="AJ947" s="42"/>
      <c r="AK947" s="42"/>
    </row>
    <row r="948" spans="25:37" ht="12.75" x14ac:dyDescent="0.35">
      <c r="Y948" s="39"/>
      <c r="Z948" s="39"/>
      <c r="AA948" s="39"/>
      <c r="AB948" s="39"/>
      <c r="AD948" s="40"/>
      <c r="AE948" s="41"/>
      <c r="AF948" s="42"/>
      <c r="AI948" s="49"/>
      <c r="AJ948" s="42"/>
      <c r="AK948" s="42"/>
    </row>
    <row r="949" spans="25:37" ht="12.75" x14ac:dyDescent="0.35">
      <c r="Y949" s="39"/>
      <c r="Z949" s="39"/>
      <c r="AA949" s="39"/>
      <c r="AB949" s="39"/>
      <c r="AD949" s="40"/>
      <c r="AE949" s="41"/>
      <c r="AF949" s="42"/>
      <c r="AI949" s="49"/>
      <c r="AJ949" s="42"/>
      <c r="AK949" s="42"/>
    </row>
    <row r="950" spans="25:37" ht="12.75" x14ac:dyDescent="0.35">
      <c r="Y950" s="39"/>
      <c r="Z950" s="39"/>
      <c r="AA950" s="39"/>
      <c r="AB950" s="39"/>
      <c r="AD950" s="40"/>
      <c r="AE950" s="41"/>
      <c r="AF950" s="42"/>
      <c r="AI950" s="49"/>
      <c r="AJ950" s="42"/>
      <c r="AK950" s="42"/>
    </row>
    <row r="951" spans="25:37" ht="12.75" x14ac:dyDescent="0.35">
      <c r="Y951" s="39"/>
      <c r="Z951" s="39"/>
      <c r="AA951" s="39"/>
      <c r="AB951" s="39"/>
      <c r="AD951" s="40"/>
      <c r="AE951" s="41"/>
      <c r="AF951" s="42"/>
      <c r="AI951" s="49"/>
      <c r="AJ951" s="42"/>
      <c r="AK951" s="42"/>
    </row>
    <row r="952" spans="25:37" ht="12.75" x14ac:dyDescent="0.35">
      <c r="Y952" s="39"/>
      <c r="Z952" s="39"/>
      <c r="AA952" s="39"/>
      <c r="AB952" s="39"/>
      <c r="AD952" s="40"/>
      <c r="AE952" s="41"/>
      <c r="AF952" s="42"/>
      <c r="AI952" s="49"/>
      <c r="AJ952" s="42"/>
      <c r="AK952" s="42"/>
    </row>
    <row r="953" spans="25:37" ht="12.75" x14ac:dyDescent="0.35">
      <c r="Y953" s="39"/>
      <c r="Z953" s="39"/>
      <c r="AA953" s="39"/>
      <c r="AB953" s="39"/>
      <c r="AD953" s="40"/>
      <c r="AE953" s="41"/>
      <c r="AF953" s="42"/>
      <c r="AI953" s="49"/>
      <c r="AJ953" s="42"/>
      <c r="AK953" s="42"/>
    </row>
    <row r="954" spans="25:37" ht="12.75" x14ac:dyDescent="0.35">
      <c r="Y954" s="39"/>
      <c r="Z954" s="39"/>
      <c r="AA954" s="39"/>
      <c r="AB954" s="39"/>
      <c r="AD954" s="40"/>
      <c r="AE954" s="41"/>
      <c r="AF954" s="42"/>
      <c r="AI954" s="49"/>
      <c r="AJ954" s="42"/>
      <c r="AK954" s="42"/>
    </row>
    <row r="955" spans="25:37" ht="12.75" x14ac:dyDescent="0.35">
      <c r="Y955" s="39"/>
      <c r="Z955" s="39"/>
      <c r="AA955" s="39"/>
      <c r="AB955" s="39"/>
      <c r="AD955" s="40"/>
      <c r="AE955" s="41"/>
      <c r="AF955" s="42"/>
      <c r="AI955" s="49"/>
      <c r="AJ955" s="42"/>
      <c r="AK955" s="42"/>
    </row>
  </sheetData>
  <pageMargins left="0.7" right="0.7" top="0.75" bottom="0.75" header="0.3" footer="0.3"/>
  <pageSetup paperSize="9" orientation="portrait" r:id="rId1"/>
  <ignoredErrors>
    <ignoredError sqref="AI18 AI20 AI25"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D4086-122E-4623-9011-5D4F0AC49D4C}">
  <dimension ref="A1:B1"/>
  <sheetViews>
    <sheetView workbookViewId="0">
      <selection activeCell="B2" sqref="B2"/>
    </sheetView>
  </sheetViews>
  <sheetFormatPr defaultRowHeight="12.75" x14ac:dyDescent="0.35"/>
  <sheetData>
    <row r="1" spans="1:2" ht="204" x14ac:dyDescent="0.35">
      <c r="A1" s="5" t="s">
        <v>542</v>
      </c>
      <c r="B1" s="45" t="s">
        <v>632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Sheet1</vt:lpstr>
      <vt:lpstr>RHI influence on Pain</vt: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Michele Scandola</cp:lastModifiedBy>
  <dcterms:modified xsi:type="dcterms:W3CDTF">2025-11-28T10:51:10Z</dcterms:modified>
</cp:coreProperties>
</file>